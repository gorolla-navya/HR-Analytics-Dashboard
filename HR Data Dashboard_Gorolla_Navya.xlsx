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cfe03e6bd24a6268/Documents/"/>
    </mc:Choice>
  </mc:AlternateContent>
  <xr:revisionPtr revIDLastSave="20" documentId="8_{5F722D9E-357D-449F-BAB6-A9A5F107B11A}" xr6:coauthVersionLast="47" xr6:coauthVersionMax="47" xr10:uidLastSave="{11BD3875-37EE-44C6-A1AE-BCD1741E04C4}"/>
  <bookViews>
    <workbookView xWindow="-108" yWindow="-108" windowWidth="23256" windowHeight="12456" firstSheet="5" activeTab="6" xr2:uid="{24733959-DA0B-48A3-8EBE-7441575BB92F}"/>
  </bookViews>
  <sheets>
    <sheet name="Department" sheetId="4" r:id="rId1"/>
    <sheet name="Age Group" sheetId="5" r:id="rId2"/>
    <sheet name="Salary Band" sheetId="6" r:id="rId3"/>
    <sheet name="Tenure Group" sheetId="7" r:id="rId4"/>
    <sheet name="Job Role" sheetId="8" r:id="rId5"/>
    <sheet name="Count of emp id" sheetId="9" r:id="rId6"/>
    <sheet name="Dashboard" sheetId="10" r:id="rId7"/>
    <sheet name="Data" sheetId="1" r:id="rId8"/>
    <sheet name="KPI Cards" sheetId="2" r:id="rId9"/>
    <sheet name="Image" sheetId="11" r:id="rId10"/>
  </sheets>
  <definedNames>
    <definedName name="Slicer_Age_Group">#N/A</definedName>
    <definedName name="Slicer_Gender">#N/A</definedName>
    <definedName name="Slicer_Job_Role">#N/A</definedName>
    <definedName name="Slicer_Salary_Band">#N/A</definedName>
    <definedName name="Slicer_Tenure_Group">#N/A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10" l="1"/>
  <c r="T21" i="10"/>
  <c r="S21" i="10"/>
  <c r="R21" i="10"/>
  <c r="P21" i="10"/>
  <c r="K11" i="1"/>
  <c r="K3" i="1"/>
  <c r="K2" i="1"/>
  <c r="J2" i="1"/>
  <c r="F5" i="2"/>
  <c r="E5" i="2"/>
  <c r="D5" i="2"/>
  <c r="C5" i="2"/>
  <c r="B5"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K4" i="1"/>
  <c r="K5" i="1"/>
  <c r="K6" i="1"/>
  <c r="K7" i="1"/>
  <c r="K8" i="1"/>
  <c r="K9" i="1"/>
  <c r="K10"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<sst xmlns="http://schemas.openxmlformats.org/spreadsheetml/2006/main" count="1070" uniqueCount="251">
  <si>
    <t>No</t>
  </si>
  <si>
    <t>Finance Manager</t>
  </si>
  <si>
    <t>Finance</t>
  </si>
  <si>
    <t>Male</t>
  </si>
  <si>
    <t>E200</t>
  </si>
  <si>
    <t>Recruiter</t>
  </si>
  <si>
    <t>HR</t>
  </si>
  <si>
    <t>Female</t>
  </si>
  <si>
    <t>E199</t>
  </si>
  <si>
    <t>Data Analyst</t>
  </si>
  <si>
    <t>IT</t>
  </si>
  <si>
    <t>E198</t>
  </si>
  <si>
    <t>Yes</t>
  </si>
  <si>
    <t>Sales Executive</t>
  </si>
  <si>
    <t>Sales</t>
  </si>
  <si>
    <t>E197</t>
  </si>
  <si>
    <t>Accountant</t>
  </si>
  <si>
    <t>E196</t>
  </si>
  <si>
    <t>HR Executive</t>
  </si>
  <si>
    <t>E195</t>
  </si>
  <si>
    <t>Developer</t>
  </si>
  <si>
    <t>E194</t>
  </si>
  <si>
    <t>E193</t>
  </si>
  <si>
    <t>Financial Analyst</t>
  </si>
  <si>
    <t>E192</t>
  </si>
  <si>
    <t>E191</t>
  </si>
  <si>
    <t>E190</t>
  </si>
  <si>
    <t>E189</t>
  </si>
  <si>
    <t>E188</t>
  </si>
  <si>
    <t>E187</t>
  </si>
  <si>
    <t>E186</t>
  </si>
  <si>
    <t>E185</t>
  </si>
  <si>
    <t>E184</t>
  </si>
  <si>
    <t>E183</t>
  </si>
  <si>
    <t>E182</t>
  </si>
  <si>
    <t>E181</t>
  </si>
  <si>
    <t>E180</t>
  </si>
  <si>
    <t>E179</t>
  </si>
  <si>
    <t>E178</t>
  </si>
  <si>
    <t>E177</t>
  </si>
  <si>
    <t>E176</t>
  </si>
  <si>
    <t>E175</t>
  </si>
  <si>
    <t>E174</t>
  </si>
  <si>
    <t>E173</t>
  </si>
  <si>
    <t>E172</t>
  </si>
  <si>
    <t>E171</t>
  </si>
  <si>
    <t>E170</t>
  </si>
  <si>
    <t>E169</t>
  </si>
  <si>
    <t>E168</t>
  </si>
  <si>
    <t>E167</t>
  </si>
  <si>
    <t>E166</t>
  </si>
  <si>
    <t>E165</t>
  </si>
  <si>
    <t>E164</t>
  </si>
  <si>
    <t>E163</t>
  </si>
  <si>
    <t>E162</t>
  </si>
  <si>
    <t>E161</t>
  </si>
  <si>
    <t>E160</t>
  </si>
  <si>
    <t>E159</t>
  </si>
  <si>
    <t>E158</t>
  </si>
  <si>
    <t>E157</t>
  </si>
  <si>
    <t>E156</t>
  </si>
  <si>
    <t>E155</t>
  </si>
  <si>
    <t>E154</t>
  </si>
  <si>
    <t>E153</t>
  </si>
  <si>
    <t>E152</t>
  </si>
  <si>
    <t>E151</t>
  </si>
  <si>
    <t>E150</t>
  </si>
  <si>
    <t>E149</t>
  </si>
  <si>
    <t>E148</t>
  </si>
  <si>
    <t>E147</t>
  </si>
  <si>
    <t>E146</t>
  </si>
  <si>
    <t>E145</t>
  </si>
  <si>
    <t>E144</t>
  </si>
  <si>
    <t>E143</t>
  </si>
  <si>
    <t>E142</t>
  </si>
  <si>
    <t>E141</t>
  </si>
  <si>
    <t>E140</t>
  </si>
  <si>
    <t>E139</t>
  </si>
  <si>
    <t>E138</t>
  </si>
  <si>
    <t>E137</t>
  </si>
  <si>
    <t>E136</t>
  </si>
  <si>
    <t>E135</t>
  </si>
  <si>
    <t>E134</t>
  </si>
  <si>
    <t>E133</t>
  </si>
  <si>
    <t>E132</t>
  </si>
  <si>
    <t>E131</t>
  </si>
  <si>
    <t>E130</t>
  </si>
  <si>
    <t>E129</t>
  </si>
  <si>
    <t>E128</t>
  </si>
  <si>
    <t>E127</t>
  </si>
  <si>
    <t>E126</t>
  </si>
  <si>
    <t>E125</t>
  </si>
  <si>
    <t>E124</t>
  </si>
  <si>
    <t>E123</t>
  </si>
  <si>
    <t>E122</t>
  </si>
  <si>
    <t>E121</t>
  </si>
  <si>
    <t>E120</t>
  </si>
  <si>
    <t>E119</t>
  </si>
  <si>
    <t>E118</t>
  </si>
  <si>
    <t>E117</t>
  </si>
  <si>
    <t>E116</t>
  </si>
  <si>
    <t>E115</t>
  </si>
  <si>
    <t>E114</t>
  </si>
  <si>
    <t>E113</t>
  </si>
  <si>
    <t>E112</t>
  </si>
  <si>
    <t>E111</t>
  </si>
  <si>
    <t>E110</t>
  </si>
  <si>
    <t>E109</t>
  </si>
  <si>
    <t>E108</t>
  </si>
  <si>
    <t>E107</t>
  </si>
  <si>
    <t>E106</t>
  </si>
  <si>
    <t>E105</t>
  </si>
  <si>
    <t>E104</t>
  </si>
  <si>
    <t>E103</t>
  </si>
  <si>
    <t>E102</t>
  </si>
  <si>
    <t>E101</t>
  </si>
  <si>
    <t>E100</t>
  </si>
  <si>
    <t>E099</t>
  </si>
  <si>
    <t>E098</t>
  </si>
  <si>
    <t>E097</t>
  </si>
  <si>
    <t>E096</t>
  </si>
  <si>
    <t>E095</t>
  </si>
  <si>
    <t>E094</t>
  </si>
  <si>
    <t>E093</t>
  </si>
  <si>
    <t>E092</t>
  </si>
  <si>
    <t>E091</t>
  </si>
  <si>
    <t>E090</t>
  </si>
  <si>
    <t>E089</t>
  </si>
  <si>
    <t>E088</t>
  </si>
  <si>
    <t>E087</t>
  </si>
  <si>
    <t>E086</t>
  </si>
  <si>
    <t>E085</t>
  </si>
  <si>
    <t>E084</t>
  </si>
  <si>
    <t>E083</t>
  </si>
  <si>
    <t>E082</t>
  </si>
  <si>
    <t>E081</t>
  </si>
  <si>
    <t>E080</t>
  </si>
  <si>
    <t>E079</t>
  </si>
  <si>
    <t>E078</t>
  </si>
  <si>
    <t>E077</t>
  </si>
  <si>
    <t>E076</t>
  </si>
  <si>
    <t>E075</t>
  </si>
  <si>
    <t>E074</t>
  </si>
  <si>
    <t>E073</t>
  </si>
  <si>
    <t>E072</t>
  </si>
  <si>
    <t>E071</t>
  </si>
  <si>
    <t>E070</t>
  </si>
  <si>
    <t>E069</t>
  </si>
  <si>
    <t>E068</t>
  </si>
  <si>
    <t>E067</t>
  </si>
  <si>
    <t>E066</t>
  </si>
  <si>
    <t>E065</t>
  </si>
  <si>
    <t>E064</t>
  </si>
  <si>
    <t>E063</t>
  </si>
  <si>
    <t>E062</t>
  </si>
  <si>
    <t>E061</t>
  </si>
  <si>
    <t>E060</t>
  </si>
  <si>
    <t>E059</t>
  </si>
  <si>
    <t>E058</t>
  </si>
  <si>
    <t>E057</t>
  </si>
  <si>
    <t>E056</t>
  </si>
  <si>
    <t>E055</t>
  </si>
  <si>
    <t>E054</t>
  </si>
  <si>
    <t>E053</t>
  </si>
  <si>
    <t>E052</t>
  </si>
  <si>
    <t>E051</t>
  </si>
  <si>
    <t>E050</t>
  </si>
  <si>
    <t>E049</t>
  </si>
  <si>
    <t>E048</t>
  </si>
  <si>
    <t>E047</t>
  </si>
  <si>
    <t>E046</t>
  </si>
  <si>
    <t>E045</t>
  </si>
  <si>
    <t>E044</t>
  </si>
  <si>
    <t>E043</t>
  </si>
  <si>
    <t>E042</t>
  </si>
  <si>
    <t>E041</t>
  </si>
  <si>
    <t>E040</t>
  </si>
  <si>
    <t>E039</t>
  </si>
  <si>
    <t>E038</t>
  </si>
  <si>
    <t>E037</t>
  </si>
  <si>
    <t>E036</t>
  </si>
  <si>
    <t>E035</t>
  </si>
  <si>
    <t>E034</t>
  </si>
  <si>
    <t>E033</t>
  </si>
  <si>
    <t>E032</t>
  </si>
  <si>
    <t>E031</t>
  </si>
  <si>
    <t>E030</t>
  </si>
  <si>
    <t>E029</t>
  </si>
  <si>
    <t>E028</t>
  </si>
  <si>
    <t>E027</t>
  </si>
  <si>
    <t>E026</t>
  </si>
  <si>
    <t>E025</t>
  </si>
  <si>
    <t>E024</t>
  </si>
  <si>
    <t>E023</t>
  </si>
  <si>
    <t>E022</t>
  </si>
  <si>
    <t>E021</t>
  </si>
  <si>
    <t>E020</t>
  </si>
  <si>
    <t>HR Manager</t>
  </si>
  <si>
    <t>E019</t>
  </si>
  <si>
    <t>E018</t>
  </si>
  <si>
    <t>E017</t>
  </si>
  <si>
    <t>E016</t>
  </si>
  <si>
    <t>E015</t>
  </si>
  <si>
    <t>E014</t>
  </si>
  <si>
    <t>E013</t>
  </si>
  <si>
    <t>E012</t>
  </si>
  <si>
    <t>E011</t>
  </si>
  <si>
    <t>E010</t>
  </si>
  <si>
    <t>E009</t>
  </si>
  <si>
    <t>E008</t>
  </si>
  <si>
    <t>E007</t>
  </si>
  <si>
    <t>E006</t>
  </si>
  <si>
    <t>E005</t>
  </si>
  <si>
    <t>E004</t>
  </si>
  <si>
    <t>E003</t>
  </si>
  <si>
    <t>E002</t>
  </si>
  <si>
    <t>E001</t>
  </si>
  <si>
    <t>Attrition</t>
  </si>
  <si>
    <t>Years_at_Company</t>
  </si>
  <si>
    <t>Job_Satisfaction</t>
  </si>
  <si>
    <t>Monthly_Income</t>
  </si>
  <si>
    <t>Job_Role</t>
  </si>
  <si>
    <t>Department</t>
  </si>
  <si>
    <t>Gender</t>
  </si>
  <si>
    <t>Age</t>
  </si>
  <si>
    <t>Employee_ID</t>
  </si>
  <si>
    <t>Age Group</t>
  </si>
  <si>
    <t>Salary Band</t>
  </si>
  <si>
    <t>Attrition Flag</t>
  </si>
  <si>
    <t>Tenure Group</t>
  </si>
  <si>
    <t>Total Employees</t>
  </si>
  <si>
    <t>Employees Left</t>
  </si>
  <si>
    <t>Attrition Rate</t>
  </si>
  <si>
    <t>Average salary</t>
  </si>
  <si>
    <t>Average Age</t>
  </si>
  <si>
    <t>Row Labels</t>
  </si>
  <si>
    <t>Grand Total</t>
  </si>
  <si>
    <t>Average of Attrition Flag</t>
  </si>
  <si>
    <t>25-34</t>
  </si>
  <si>
    <t>35-44</t>
  </si>
  <si>
    <t>45+</t>
  </si>
  <si>
    <t>Below 25</t>
  </si>
  <si>
    <t>High</t>
  </si>
  <si>
    <t>Low</t>
  </si>
  <si>
    <t>Medium</t>
  </si>
  <si>
    <t>0-2 Years</t>
  </si>
  <si>
    <t>10+ Years</t>
  </si>
  <si>
    <t>3-5 Years</t>
  </si>
  <si>
    <t>6-10 Years</t>
  </si>
  <si>
    <t>Count of Employee_ID</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</si>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</sst>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6C3F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3" fillId="2" borderId="0" xfId="0" applyFont="1" applyFill="1"/>
    <xf numFmtId="0" fontId="2" fillId="3" borderId="0" xfId="0" applyFont="1" applyFill="1" applyAlignment="1">
      <alignment horizontal="center"/>
    </xf>
    <xf numFmtId="0" fontId="0" fillId="3" borderId="0" xfId="0" applyFont="1" applyFill="1" applyAlignment="1">
      <alignment horizontal="center"/>
    </xf>
    <xf numFmtId="0" fontId="0" fillId="3" borderId="0" xfId="0" applyFont="1" applyFill="1"/>
  </cellXfs>
  <cellStyles count="2">
    <cellStyle name="Normal" xfId="0" builtinId="0"/>
    <cellStyle name="Percent" xfId="1" builtinId="5"/>
  </cellStyles>
  <dxfs count="11">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Dashboard_Gorolla_Navya.xlsx]Department!PivotTable1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Department!$A$4:$A$8</c:f>
              <c:strCache>
                <c:ptCount val="4"/>
                <c:pt idx="0">
                  <c:v>Finance</c:v>
                </c:pt>
                <c:pt idx="1">
                  <c:v>HR</c:v>
                </c:pt>
                <c:pt idx="2">
                  <c:v>IT</c:v>
                </c:pt>
                <c:pt idx="3">
                  <c:v>Sales</c:v>
                </c:pt>
              </c:strCache>
            </c:strRef>
          </c:cat>
          <c:val>
            <c:numRef>
              <c:f>Department!$B$4:$B$8</c:f>
              <c:numCache>
                <c:formatCode>0%</c:formatCode>
                <c:ptCount val="4"/>
                <c:pt idx="0">
                  <c:v>0</c:v>
                </c:pt>
                <c:pt idx="1">
                  <c:v>0.06</c:v>
                </c:pt>
                <c:pt idx="2">
                  <c:v>0</c:v>
                </c:pt>
                <c:pt idx="3">
                  <c:v>0.94</c:v>
                </c:pt>
              </c:numCache>
            </c:numRef>
          </c:val>
          <c:extLst>
            <c:ext xmlns:c16="http://schemas.microsoft.com/office/drawing/2014/chart" uri="{C3380CC4-5D6E-409C-BE32-E72D297353CC}">
              <c16:uniqueId val="{00000000-C81F-4C3D-A4B8-3D1E85F058EC}"/>
            </c:ext>
          </c:extLst>
        </c:ser>
        <c:dLbls>
          <c:dLblPos val="inEnd"/>
          <c:showLegendKey val="0"/>
          <c:showVal val="1"/>
          <c:showCatName val="0"/>
          <c:showSerName val="0"/>
          <c:showPercent val="0"/>
          <c:showBubbleSize val="0"/>
        </c:dLbls>
        <c:gapWidth val="100"/>
        <c:overlap val="-24"/>
        <c:axId val="1673436223"/>
        <c:axId val="1600981167"/>
      </c:barChart>
      <c:catAx>
        <c:axId val="1673436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81167"/>
        <c:crosses val="autoZero"/>
        <c:auto val="1"/>
        <c:lblAlgn val="ctr"/>
        <c:lblOffset val="100"/>
        <c:noMultiLvlLbl val="0"/>
      </c:catAx>
      <c:valAx>
        <c:axId val="16009811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43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Dashboard_Gorolla_Navya.xlsx]Age Group!PivotTable2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Group'!$B$3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563-4F11-A4D6-4EAAB0F769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563-4F11-A4D6-4EAAB0F769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563-4F11-A4D6-4EAAB0F769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563-4F11-A4D6-4EAAB0F769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Group'!$A$4:$A$8</c:f>
              <c:strCache>
                <c:ptCount val="4"/>
                <c:pt idx="0">
                  <c:v>25-34</c:v>
                </c:pt>
                <c:pt idx="1">
                  <c:v>35-44</c:v>
                </c:pt>
                <c:pt idx="2">
                  <c:v>45+</c:v>
                </c:pt>
                <c:pt idx="3">
                  <c:v>Below 25</c:v>
                </c:pt>
              </c:strCache>
            </c:strRef>
          </c:cat>
          <c:val>
            <c:numRef>
              <c:f>'Age Group'!$B$4:$B$8</c:f>
              <c:numCache>
                <c:formatCode>0%</c:formatCode>
                <c:ptCount val="4"/>
                <c:pt idx="0">
                  <c:v>0.33333333333333331</c:v>
                </c:pt>
                <c:pt idx="1">
                  <c:v>0</c:v>
                </c:pt>
                <c:pt idx="2">
                  <c:v>0</c:v>
                </c:pt>
                <c:pt idx="3">
                  <c:v>1</c:v>
                </c:pt>
              </c:numCache>
            </c:numRef>
          </c:val>
          <c:extLst>
            <c:ext xmlns:c16="http://schemas.microsoft.com/office/drawing/2014/chart" uri="{C3380CC4-5D6E-409C-BE32-E72D297353CC}">
              <c16:uniqueId val="{00000000-5DB6-4881-A516-821EFC5AF00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Dashboard_Gorolla_Navya.xlsx]Salary Band!PivotTable3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Salary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 Band'!$B$3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'Salary Band'!$A$4:$A$7</c:f>
              <c:strCache>
                <c:ptCount val="3"/>
                <c:pt idx="0">
                  <c:v>High</c:v>
                </c:pt>
                <c:pt idx="1">
                  <c:v>Low</c:v>
                </c:pt>
                <c:pt idx="2">
                  <c:v>Medium</c:v>
                </c:pt>
              </c:strCache>
            </c:strRef>
          </c:cat>
          <c:val>
            <c:numRef>
              <c:f>'Salary Band'!$B$4:$B$7</c:f>
              <c:numCache>
                <c:formatCode>0%</c:formatCode>
                <c:ptCount val="3"/>
                <c:pt idx="0">
                  <c:v>0</c:v>
                </c:pt>
                <c:pt idx="1">
                  <c:v>0.94339622641509435</c:v>
                </c:pt>
                <c:pt idx="2">
                  <c:v>0</c:v>
                </c:pt>
              </c:numCache>
            </c:numRef>
          </c:val>
          <c:smooth val="0"/>
          <c:extLst>
            <c:ext xmlns:c16="http://schemas.microsoft.com/office/drawing/2014/chart" uri="{C3380CC4-5D6E-409C-BE32-E72D297353CC}">
              <c16:uniqueId val="{00000000-4E1C-4DA9-A0D4-9DC55030F5D9}"/>
            </c:ext>
          </c:extLst>
        </c:ser>
        <c:dLbls>
          <c:showLegendKey val="0"/>
          <c:showVal val="1"/>
          <c:showCatName val="0"/>
          <c:showSerName val="0"/>
          <c:showPercent val="0"/>
          <c:showBubbleSize val="0"/>
        </c:dLbls>
        <c:smooth val="0"/>
        <c:axId val="1673426015"/>
        <c:axId val="1600964367"/>
      </c:lineChart>
      <c:catAx>
        <c:axId val="167342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964367"/>
        <c:crosses val="autoZero"/>
        <c:auto val="1"/>
        <c:lblAlgn val="ctr"/>
        <c:lblOffset val="100"/>
        <c:noMultiLvlLbl val="0"/>
      </c:catAx>
      <c:valAx>
        <c:axId val="16009643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42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Dashboard_Gorolla_Navya.xlsx]Tenure Group!PivotTable4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Tenure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'Tenure Group'!$B$3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86-439D-9F6E-09DCD2A498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86-439D-9F6E-09DCD2A498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686-439D-9F6E-09DCD2A498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686-439D-9F6E-09DCD2A498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'Tenure Group'!$A$4:$A$8</c:f>
              <c:strCache>
                <c:ptCount val="4"/>
                <c:pt idx="0">
                  <c:v>0-2 Years</c:v>
                </c:pt>
                <c:pt idx="1">
                  <c:v>10+ Years</c:v>
                </c:pt>
                <c:pt idx="2">
                  <c:v>3-5 Years</c:v>
                </c:pt>
                <c:pt idx="3">
                  <c:v>6-10 Years</c:v>
                </c:pt>
              </c:strCache>
            </c:strRef>
          </c:cat>
          <c:val>
            <c:numRef>
              <c:f>'Tenure Group'!$B$4:$B$8</c:f>
              <c:numCache>
                <c:formatCode>0%</c:formatCode>
                <c:ptCount val="4"/>
                <c:pt idx="0">
                  <c:v>1</c:v>
                </c:pt>
                <c:pt idx="1">
                  <c:v>0</c:v>
                </c:pt>
                <c:pt idx="2">
                  <c:v>0.33333333333333331</c:v>
                </c:pt>
                <c:pt idx="3">
                  <c:v>0</c:v>
                </c:pt>
              </c:numCache>
            </c:numRef>
          </c:val>
          <c:extLst>
            <c:ext xmlns:c16="http://schemas.microsoft.com/office/drawing/2014/chart" uri="{C3380CC4-5D6E-409C-BE32-E72D297353CC}">
              <c16:uniqueId val="{00000000-F3AE-426F-9847-10E132B1475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Dashboard_Gorolla_Navya.xlsx]Job Role!PivotTable5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'Job 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'Job Role'!$A$4:$A$13</c:f>
              <c:strCache>
                <c:ptCount val="9"/>
                <c:pt idx="0">
                  <c:v>Accountant</c:v>
                </c:pt>
                <c:pt idx="1">
                  <c:v>Data Analyst</c:v>
                </c:pt>
                <c:pt idx="2">
                  <c:v>Developer</c:v>
                </c:pt>
                <c:pt idx="3">
                  <c:v>Finance Manager</c:v>
                </c:pt>
                <c:pt idx="4">
                  <c:v>Financial Analyst</c:v>
                </c:pt>
                <c:pt idx="5">
                  <c:v>HR Executive</c:v>
                </c:pt>
                <c:pt idx="6">
                  <c:v>HR Manager</c:v>
                </c:pt>
                <c:pt idx="7">
                  <c:v>Recruiter</c:v>
                </c:pt>
                <c:pt idx="8">
                  <c:v>Sales Executive</c:v>
                </c:pt>
              </c:strCache>
            </c:strRef>
          </c:cat>
          <c:val>
            <c:numRef>
              <c:f>'Job Role'!$B$4:$B$13</c:f>
              <c:numCache>
                <c:formatCode>0%</c:formatCode>
                <c:ptCount val="9"/>
                <c:pt idx="0">
                  <c:v>0</c:v>
                </c:pt>
                <c:pt idx="1">
                  <c:v>0</c:v>
                </c:pt>
                <c:pt idx="2">
                  <c:v>0</c:v>
                </c:pt>
                <c:pt idx="3">
                  <c:v>0</c:v>
                </c:pt>
                <c:pt idx="4">
                  <c:v>0</c:v>
                </c:pt>
                <c:pt idx="5">
                  <c:v>0</c:v>
                </c:pt>
                <c:pt idx="6">
                  <c:v>0</c:v>
                </c:pt>
                <c:pt idx="7">
                  <c:v>0.11538461538461539</c:v>
                </c:pt>
                <c:pt idx="8">
                  <c:v>0.94</c:v>
                </c:pt>
              </c:numCache>
            </c:numRef>
          </c:val>
          <c:extLst>
            <c:ext xmlns:c16="http://schemas.microsoft.com/office/drawing/2014/chart" uri="{C3380CC4-5D6E-409C-BE32-E72D297353CC}">
              <c16:uniqueId val="{00000000-EE03-4CD2-A054-75F18387D7DD}"/>
            </c:ext>
          </c:extLst>
        </c:ser>
        <c:dLbls>
          <c:showLegendKey val="0"/>
          <c:showVal val="0"/>
          <c:showCatName val="0"/>
          <c:showSerName val="0"/>
          <c:showPercent val="0"/>
          <c:showBubbleSize val="0"/>
        </c:dLbls>
        <c:axId val="459043647"/>
        <c:axId val="368863951"/>
        <c:axId val="0"/>
      </c:area3DChart>
      <c:catAx>
        <c:axId val="4590436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863951"/>
        <c:crosses val="autoZero"/>
        <c:auto val="1"/>
        <c:lblAlgn val="ctr"/>
        <c:lblOffset val="100"/>
        <c:noMultiLvlLbl val="0"/>
      </c:catAx>
      <c:valAx>
        <c:axId val="3688639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043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Dashboard_Gorolla_Navya.xlsx]Count of emp id!PivotTable6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employee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 of emp id'!$B$3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F0-49C1-ABC0-9E7CFEACC4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F0-49C1-ABC0-9E7CFEACC4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F0-49C1-ABC0-9E7CFEACC4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F0-49C1-ABC0-9E7CFEACC4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'Count of emp id'!$A$4:$A$8</c:f>
              <c:strCache>
                <c:ptCount val="4"/>
                <c:pt idx="0">
                  <c:v>Finance</c:v>
                </c:pt>
                <c:pt idx="1">
                  <c:v>HR</c:v>
                </c:pt>
                <c:pt idx="2">
                  <c:v>IT</c:v>
                </c:pt>
                <c:pt idx="3">
                  <c:v>Sales</c:v>
                </c:pt>
              </c:strCache>
            </c:strRef>
          </c:cat>
          <c:val>
            <c:numRef>
              <c:f>'Count of emp id'!$B$4:$B$8</c:f>
              <c:numCache>
                <c:formatCode>General</c:formatCode>
                <c:ptCount val="4"/>
                <c:pt idx="0">
                  <c:v>50</c:v>
                </c:pt>
                <c:pt idx="1">
                  <c:v>50</c:v>
                </c:pt>
                <c:pt idx="2">
                  <c:v>50</c:v>
                </c:pt>
                <c:pt idx="3">
                  <c:v>50</c:v>
                </c:pt>
              </c:numCache>
            </c:numRef>
          </c:val>
          <c:extLst>
            <c:ext xmlns:c16="http://schemas.microsoft.com/office/drawing/2014/chart" uri="{C3380CC4-5D6E-409C-BE32-E72D297353CC}">
              <c16:uniqueId val="{00000008-C5F0-49C1-ABC0-9E7CFEACC4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177800</xdr:rowOff>
    </xdr:from>
    <xdr:to>
      <xdr:col>5</xdr:col>
      <xdr:colOff>177800</xdr:colOff>
      <xdr:row>10</xdr:row>
      <xdr:rowOff>165100</xdr:rowOff>
    </xdr:to>
    <xdr:graphicFrame macro="">
      <xdr:nvGraphicFramePr>
        <xdr:cNvPr id="2" name="Chart 1">
          <a:extLst>
            <a:ext uri="{FF2B5EF4-FFF2-40B4-BE49-F238E27FC236}">
              <a16:creationId xmlns:a16="http://schemas.microsoft.com/office/drawing/2014/main" id="{E2C3EB83-AD2E-4A9C-B51D-D69B6AD27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0</xdr:row>
      <xdr:rowOff>165100</xdr:rowOff>
    </xdr:from>
    <xdr:to>
      <xdr:col>10</xdr:col>
      <xdr:colOff>285750</xdr:colOff>
      <xdr:row>10</xdr:row>
      <xdr:rowOff>171450</xdr:rowOff>
    </xdr:to>
    <xdr:graphicFrame macro="">
      <xdr:nvGraphicFramePr>
        <xdr:cNvPr id="3" name="Chart 2">
          <a:extLst>
            <a:ext uri="{FF2B5EF4-FFF2-40B4-BE49-F238E27FC236}">
              <a16:creationId xmlns:a16="http://schemas.microsoft.com/office/drawing/2014/main" id="{125DBB4D-408D-466B-9418-FCC54914B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311150</xdr:colOff>
      <xdr:row>0</xdr:row>
      <xdr:rowOff>177800</xdr:rowOff>
    </xdr:from>
    <xdr:to>
      <xdr:col>15</xdr:col>
      <xdr:colOff>38100</xdr:colOff>
      <xdr:row>10</xdr:row>
      <xdr:rowOff>171450</xdr:rowOff>
    </xdr:to>
    <xdr:graphicFrame macro="">
      <xdr:nvGraphicFramePr>
        <xdr:cNvPr id="4" name="Chart 3">
          <a:extLst>
            <a:ext uri="{FF2B5EF4-FFF2-40B4-BE49-F238E27FC236}">
              <a16:creationId xmlns:a16="http://schemas.microsoft.com/office/drawing/2014/main" id="{FD6FFEFB-BE07-419B-95B1-D2748BC7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177800</xdr:rowOff>
    </xdr:from>
    <xdr:to>
      <xdr:col>5</xdr:col>
      <xdr:colOff>190500</xdr:colOff>
      <xdr:row>21</xdr:row>
      <xdr:rowOff>133350</xdr:rowOff>
    </xdr:to>
    <xdr:graphicFrame macro="">
      <xdr:nvGraphicFramePr>
        <xdr:cNvPr id="5" name="Chart 4">
          <a:extLst>
            <a:ext uri="{FF2B5EF4-FFF2-40B4-BE49-F238E27FC236}">
              <a16:creationId xmlns:a16="http://schemas.microsoft.com/office/drawing/2014/main" id="{04D5D3DD-F3E9-4A5F-9E2C-D427E59FF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209550</xdr:colOff>
      <xdr:row>10</xdr:row>
      <xdr:rowOff>177800</xdr:rowOff>
    </xdr:from>
    <xdr:to>
      <xdr:col>10</xdr:col>
      <xdr:colOff>303389</xdr:colOff>
      <xdr:row>21</xdr:row>
      <xdr:rowOff>134056</xdr:rowOff>
    </xdr:to>
    <xdr:graphicFrame macro="">
      <xdr:nvGraphicFramePr>
        <xdr:cNvPr id="6" name="Chart 5">
          <a:extLst>
            <a:ext uri="{FF2B5EF4-FFF2-40B4-BE49-F238E27FC236}">
              <a16:creationId xmlns:a16="http://schemas.microsoft.com/office/drawing/2014/main" id="{85D73A2D-6F5B-4F83-BC6F-B70AF051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317501</xdr:colOff>
      <xdr:row>10</xdr:row>
      <xdr:rowOff>180540</xdr:rowOff>
    </xdr:from>
    <xdr:to>
      <xdr:col>15</xdr:col>
      <xdr:colOff>37353</xdr:colOff>
      <xdr:row>21</xdr:row>
      <xdr:rowOff>118284</xdr:rowOff>
    </xdr:to>
    <xdr:graphicFrame macro="">
      <xdr:nvGraphicFramePr>
        <xdr:cNvPr id="7" name="Chart 6">
          <a:extLst>
            <a:ext uri="{FF2B5EF4-FFF2-40B4-BE49-F238E27FC236}">
              <a16:creationId xmlns:a16="http://schemas.microsoft.com/office/drawing/2014/main" id="{68708244-7642-4F66-A4EC-EEBA801E5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804335</xdr:colOff>
      <xdr:row>1</xdr:row>
      <xdr:rowOff>19188</xdr:rowOff>
    </xdr:from>
    <xdr:to>
      <xdr:col>19</xdr:col>
      <xdr:colOff>788550</xdr:colOff>
      <xdr:row>4</xdr:row>
      <xdr:rowOff>49389</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A23B5B08-B3AC-27D1-4C35-23204F9A26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19557" y="202632"/>
              <a:ext cx="1966826" cy="72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811389</xdr:colOff>
      <xdr:row>5</xdr:row>
      <xdr:rowOff>103253</xdr:rowOff>
    </xdr:from>
    <xdr:to>
      <xdr:col>19</xdr:col>
      <xdr:colOff>795495</xdr:colOff>
      <xdr:row>18</xdr:row>
      <xdr:rowOff>56444</xdr:rowOff>
    </xdr:to>
    <mc:AlternateContent xmlns:mc="http://schemas.openxmlformats.org/markup-compatibility/2006">
      <mc:Choice xmlns:a14="http://schemas.microsoft.com/office/drawing/2010/main" Requires="a14">
        <xdr:graphicFrame macro="">
          <xdr:nvGraphicFramePr>
            <xdr:cNvPr id="9" name="Job_Role">
              <a:extLst>
                <a:ext uri="{FF2B5EF4-FFF2-40B4-BE49-F238E27FC236}">
                  <a16:creationId xmlns:a16="http://schemas.microsoft.com/office/drawing/2014/main" id="{FBCEB63C-536F-EC72-19AC-EF715555B89C}"/>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11126611" y="1161586"/>
              <a:ext cx="1966717" cy="2337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77314</xdr:colOff>
      <xdr:row>13</xdr:row>
      <xdr:rowOff>119945</xdr:rowOff>
    </xdr:from>
    <xdr:to>
      <xdr:col>17</xdr:col>
      <xdr:colOff>686397</xdr:colOff>
      <xdr:row>18</xdr:row>
      <xdr:rowOff>139707</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AAF94C07-10D2-5657-3AAA-123DF6E09E4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178981" y="2645834"/>
              <a:ext cx="1822638" cy="936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93228</xdr:colOff>
      <xdr:row>7</xdr:row>
      <xdr:rowOff>169333</xdr:rowOff>
    </xdr:from>
    <xdr:to>
      <xdr:col>17</xdr:col>
      <xdr:colOff>702311</xdr:colOff>
      <xdr:row>13</xdr:row>
      <xdr:rowOff>39890</xdr:rowOff>
    </xdr:to>
    <mc:AlternateContent xmlns:mc="http://schemas.openxmlformats.org/markup-compatibility/2006">
      <mc:Choice xmlns:a14="http://schemas.microsoft.com/office/drawing/2010/main" Requires="a14">
        <xdr:graphicFrame macro="">
          <xdr:nvGraphicFramePr>
            <xdr:cNvPr id="11" name="Salary Band">
              <a:extLst>
                <a:ext uri="{FF2B5EF4-FFF2-40B4-BE49-F238E27FC236}">
                  <a16:creationId xmlns:a16="http://schemas.microsoft.com/office/drawing/2014/main" id="{CDA8852E-02AD-9763-637C-587B3FB51D55}"/>
                </a:ext>
              </a:extLst>
            </xdr:cNvPr>
            <xdr:cNvGraphicFramePr/>
          </xdr:nvGraphicFramePr>
          <xdr:xfrm>
            <a:off x="0" y="0"/>
            <a:ext cx="0" cy="0"/>
          </xdr:xfrm>
          <a:graphic>
            <a:graphicData uri="http://schemas.microsoft.com/office/drawing/2010/slicer">
              <sle:slicer xmlns:sle="http://schemas.microsoft.com/office/drawing/2010/slicer" name="Salary Band"/>
            </a:graphicData>
          </a:graphic>
        </xdr:graphicFrame>
      </mc:Choice>
      <mc:Fallback>
        <xdr:sp macro="" textlink="">
          <xdr:nvSpPr>
            <xdr:cNvPr id="0" name=""/>
            <xdr:cNvSpPr>
              <a:spLocks noTextEdit="1"/>
            </xdr:cNvSpPr>
          </xdr:nvSpPr>
          <xdr:spPr>
            <a:xfrm>
              <a:off x="9194895" y="1594555"/>
              <a:ext cx="1822638" cy="97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97052</xdr:colOff>
      <xdr:row>1</xdr:row>
      <xdr:rowOff>28223</xdr:rowOff>
    </xdr:from>
    <xdr:to>
      <xdr:col>17</xdr:col>
      <xdr:colOff>706135</xdr:colOff>
      <xdr:row>6</xdr:row>
      <xdr:rowOff>141655</xdr:rowOff>
    </xdr:to>
    <mc:AlternateContent xmlns:mc="http://schemas.openxmlformats.org/markup-compatibility/2006">
      <mc:Choice xmlns:a14="http://schemas.microsoft.com/office/drawing/2010/main" Requires="a14">
        <xdr:graphicFrame macro="">
          <xdr:nvGraphicFramePr>
            <xdr:cNvPr id="12" name="Tenure Group">
              <a:extLst>
                <a:ext uri="{FF2B5EF4-FFF2-40B4-BE49-F238E27FC236}">
                  <a16:creationId xmlns:a16="http://schemas.microsoft.com/office/drawing/2014/main" id="{17F11C8F-CD9B-E5AA-C8F9-B6950198F25B}"/>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9198719" y="211667"/>
              <a:ext cx="1822638" cy="1171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387840</xdr:colOff>
      <xdr:row>13</xdr:row>
      <xdr:rowOff>89028</xdr:rowOff>
    </xdr:to>
    <xdr:pic>
      <xdr:nvPicPr>
        <xdr:cNvPr id="3" name="Picture 2">
          <a:extLst>
            <a:ext uri="{FF2B5EF4-FFF2-40B4-BE49-F238E27FC236}">
              <a16:creationId xmlns:a16="http://schemas.microsoft.com/office/drawing/2014/main" id="{8F00B527-161D-BB3B-85F4-CEBAF3A855F7}"/>
            </a:ext>
          </a:extLst>
        </xdr:cNvPr>
        <xdr:cNvPicPr>
          <a:picLocks noChangeAspect="1"/>
        </xdr:cNvPicPr>
      </xdr:nvPicPr>
      <xdr:blipFill>
        <a:blip xmlns:r="http://schemas.openxmlformats.org/officeDocument/2006/relationships" r:embed="rId1"/>
        <a:stretch>
          <a:fillRect/>
        </a:stretch>
      </xdr:blipFill>
      <xdr:spPr>
        <a:xfrm>
          <a:off x="0" y="0"/>
          <a:ext cx="9531840" cy="24829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HA RAJALINGOLLA" refreshedDate="46244.810957986112" createdVersion="8" refreshedVersion="8" minRefreshableVersion="3" recordCount="200" xr:uid="{54C646F6-D6BE-4E33-A322-1DC768B215C3}">
  <cacheSource type="worksheet">
    <worksheetSource name="Table1"/>
  </cacheSource>
  <cacheFields count="13">
    <cacheField name="Employee_ID" numFmtId="0">
      <sharedItems/>
    </cacheField>
    <cacheField name="Age" numFmtId="0">
      <sharedItems containsSemiMixedTypes="0" containsString="0" containsNumber="1" containsInteger="1" minValue="22" maxValue="48"/>
    </cacheField>
    <cacheField name="Gender" numFmtId="0">
      <sharedItems count="2">
        <s v="Female"/>
        <s v="Male"/>
      </sharedItems>
    </cacheField>
    <cacheField name="Department" numFmtId="0">
      <sharedItems count="4">
        <s v="Sales"/>
        <s v="IT"/>
        <s v="HR"/>
        <s v="Finance"/>
      </sharedItems>
    </cacheField>
    <cacheField name="Job_Role" numFmtId="0">
      <sharedItems count="9">
        <s v="Sales Executive"/>
        <s v="Developer"/>
        <s v="HR Executive"/>
        <s v="Financial Analyst"/>
        <s v="Recruiter"/>
        <s v="Accountant"/>
        <s v="Data Analyst"/>
        <s v="HR Manager"/>
        <s v="Finance Manager"/>
      </sharedItems>
    </cacheField>
    <cacheField name="Monthly_Income" numFmtId="0">
      <sharedItems containsSemiMixedTypes="0" containsString="0" containsNumber="1" containsInteger="1" minValue="2900" maxValue="9400"/>
    </cacheField>
    <cacheField name="Job_Satisfaction" numFmtId="0">
      <sharedItems containsSemiMixedTypes="0" containsString="0" containsNumber="1" containsInteger="1" minValue="1" maxValue="4"/>
    </cacheField>
    <cacheField name="Years_at_Company" numFmtId="0">
      <sharedItems containsSemiMixedTypes="0" containsString="0" containsNumber="1" containsInteger="1" minValue="1" maxValue="16"/>
    </cacheField>
    <cacheField name="Attrition" numFmtId="0">
      <sharedItems/>
    </cacheField>
    <cacheField name="Age Group" numFmtId="0">
      <sharedItems count="4">
        <s v="Below 25"/>
        <s v="35-44"/>
        <s v="25-34"/>
        <s v="45+"/>
      </sharedItems>
    </cacheField>
    <cacheField name="Salary Band" numFmtId="0">
      <sharedItems count="3">
        <s v="Low"/>
        <s v="Medium"/>
        <s v="High"/>
      </sharedItems>
    </cacheField>
    <cacheField name="Attrition Flag" numFmtId="0">
      <sharedItems containsSemiMixedTypes="0" containsString="0" containsNumber="1" containsInteger="1" minValue="0" maxValue="1"/>
    </cacheField>
    <cacheField name="Tenure Group" numFmtId="0">
      <sharedItems count="4">
        <s v="0-2 Years"/>
        <s v="6-10 Years"/>
        <s v="3-5 Years"/>
        <s v="10+ Years"/>
      </sharedItems>
    </cacheField>
  </cacheFields>
  <extLst>
    <ext xmlns:x14="http://schemas.microsoft.com/office/spreadsheetml/2009/9/main" uri="{725AE2AE-9491-48be-B2B4-4EB974FC3084}">
      <x14:pivotCacheDefinition pivotCacheId="1478781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n v="24"/>
    <x v="0"/>
    <x v="0"/>
    <x v="0"/>
    <n v="3200"/>
    <n v="2"/>
    <n v="1"/>
    <s v="Yes"/>
    <x v="0"/>
    <x v="0"/>
    <n v="1"/>
    <x v="0"/>
  </r>
  <r>
    <s v="E002"/>
    <n v="35"/>
    <x v="1"/>
    <x v="1"/>
    <x v="1"/>
    <n v="6500"/>
    <n v="4"/>
    <n v="7"/>
    <s v="No"/>
    <x v="1"/>
    <x v="1"/>
    <n v="0"/>
    <x v="1"/>
  </r>
  <r>
    <s v="E003"/>
    <n v="29"/>
    <x v="0"/>
    <x v="2"/>
    <x v="2"/>
    <n v="4200"/>
    <n v="3"/>
    <n v="4"/>
    <s v="No"/>
    <x v="2"/>
    <x v="1"/>
    <n v="0"/>
    <x v="2"/>
  </r>
  <r>
    <s v="E004"/>
    <n v="42"/>
    <x v="1"/>
    <x v="3"/>
    <x v="3"/>
    <n v="7200"/>
    <n v="4"/>
    <n v="10"/>
    <s v="No"/>
    <x v="1"/>
    <x v="2"/>
    <n v="0"/>
    <x v="1"/>
  </r>
  <r>
    <s v="E005"/>
    <n v="26"/>
    <x v="0"/>
    <x v="0"/>
    <x v="0"/>
    <n v="3500"/>
    <n v="2"/>
    <n v="2"/>
    <s v="Yes"/>
    <x v="2"/>
    <x v="0"/>
    <n v="1"/>
    <x v="2"/>
  </r>
  <r>
    <s v="E006"/>
    <n v="31"/>
    <x v="1"/>
    <x v="1"/>
    <x v="1"/>
    <n v="5800"/>
    <n v="3"/>
    <n v="5"/>
    <s v="No"/>
    <x v="2"/>
    <x v="1"/>
    <n v="0"/>
    <x v="2"/>
  </r>
  <r>
    <s v="E007"/>
    <n v="38"/>
    <x v="0"/>
    <x v="2"/>
    <x v="4"/>
    <n v="4900"/>
    <n v="4"/>
    <n v="8"/>
    <s v="No"/>
    <x v="1"/>
    <x v="1"/>
    <n v="0"/>
    <x v="1"/>
  </r>
  <r>
    <s v="E008"/>
    <n v="45"/>
    <x v="1"/>
    <x v="3"/>
    <x v="5"/>
    <n v="6800"/>
    <n v="3"/>
    <n v="12"/>
    <s v="No"/>
    <x v="3"/>
    <x v="1"/>
    <n v="0"/>
    <x v="3"/>
  </r>
  <r>
    <s v="E009"/>
    <n v="23"/>
    <x v="1"/>
    <x v="0"/>
    <x v="0"/>
    <n v="3000"/>
    <n v="1"/>
    <n v="1"/>
    <s v="Yes"/>
    <x v="0"/>
    <x v="0"/>
    <n v="1"/>
    <x v="0"/>
  </r>
  <r>
    <s v="E010"/>
    <n v="34"/>
    <x v="0"/>
    <x v="1"/>
    <x v="6"/>
    <n v="6200"/>
    <n v="4"/>
    <n v="6"/>
    <s v="No"/>
    <x v="2"/>
    <x v="1"/>
    <n v="0"/>
    <x v="1"/>
  </r>
  <r>
    <s v="E011"/>
    <n v="28"/>
    <x v="1"/>
    <x v="2"/>
    <x v="2"/>
    <n v="4100"/>
    <n v="3"/>
    <n v="3"/>
    <s v="No"/>
    <x v="2"/>
    <x v="1"/>
    <n v="0"/>
    <x v="2"/>
  </r>
  <r>
    <s v="E012"/>
    <n v="40"/>
    <x v="0"/>
    <x v="3"/>
    <x v="3"/>
    <n v="7500"/>
    <n v="4"/>
    <n v="9"/>
    <s v="No"/>
    <x v="1"/>
    <x v="2"/>
    <n v="0"/>
    <x v="1"/>
  </r>
  <r>
    <s v="E013"/>
    <n v="27"/>
    <x v="0"/>
    <x v="0"/>
    <x v="0"/>
    <n v="3400"/>
    <n v="2"/>
    <n v="2"/>
    <s v="Yes"/>
    <x v="2"/>
    <x v="0"/>
    <n v="1"/>
    <x v="2"/>
  </r>
  <r>
    <s v="E014"/>
    <n v="36"/>
    <x v="1"/>
    <x v="1"/>
    <x v="1"/>
    <n v="6100"/>
    <n v="3"/>
    <n v="7"/>
    <s v="No"/>
    <x v="1"/>
    <x v="1"/>
    <n v="0"/>
    <x v="1"/>
  </r>
  <r>
    <s v="E015"/>
    <n v="30"/>
    <x v="0"/>
    <x v="2"/>
    <x v="4"/>
    <n v="4500"/>
    <n v="3"/>
    <n v="4"/>
    <s v="No"/>
    <x v="2"/>
    <x v="1"/>
    <n v="0"/>
    <x v="2"/>
  </r>
  <r>
    <s v="E016"/>
    <n v="44"/>
    <x v="1"/>
    <x v="3"/>
    <x v="5"/>
    <n v="7000"/>
    <n v="4"/>
    <n v="11"/>
    <s v="No"/>
    <x v="1"/>
    <x v="2"/>
    <n v="0"/>
    <x v="3"/>
  </r>
  <r>
    <s v="E017"/>
    <n v="25"/>
    <x v="1"/>
    <x v="0"/>
    <x v="0"/>
    <n v="3300"/>
    <n v="2"/>
    <n v="1"/>
    <s v="Yes"/>
    <x v="2"/>
    <x v="0"/>
    <n v="1"/>
    <x v="0"/>
  </r>
  <r>
    <s v="E018"/>
    <n v="33"/>
    <x v="0"/>
    <x v="1"/>
    <x v="6"/>
    <n v="5900"/>
    <n v="4"/>
    <n v="5"/>
    <s v="No"/>
    <x v="2"/>
    <x v="1"/>
    <n v="0"/>
    <x v="2"/>
  </r>
  <r>
    <s v="E019"/>
    <n v="39"/>
    <x v="1"/>
    <x v="2"/>
    <x v="7"/>
    <n v="7800"/>
    <n v="4"/>
    <n v="9"/>
    <s v="No"/>
    <x v="1"/>
    <x v="2"/>
    <n v="0"/>
    <x v="1"/>
  </r>
  <r>
    <s v="E020"/>
    <n v="47"/>
    <x v="0"/>
    <x v="3"/>
    <x v="8"/>
    <n v="9200"/>
    <n v="4"/>
    <n v="15"/>
    <s v="No"/>
    <x v="3"/>
    <x v="2"/>
    <n v="0"/>
    <x v="3"/>
  </r>
  <r>
    <s v="E021"/>
    <n v="29"/>
    <x v="1"/>
    <x v="0"/>
    <x v="0"/>
    <n v="3700"/>
    <n v="3"/>
    <n v="3"/>
    <s v="No"/>
    <x v="2"/>
    <x v="0"/>
    <n v="0"/>
    <x v="2"/>
  </r>
  <r>
    <s v="E022"/>
    <n v="32"/>
    <x v="0"/>
    <x v="1"/>
    <x v="1"/>
    <n v="6000"/>
    <n v="3"/>
    <n v="6"/>
    <s v="No"/>
    <x v="2"/>
    <x v="1"/>
    <n v="0"/>
    <x v="1"/>
  </r>
  <r>
    <s v="E023"/>
    <n v="24"/>
    <x v="0"/>
    <x v="2"/>
    <x v="4"/>
    <n v="3900"/>
    <n v="2"/>
    <n v="1"/>
    <s v="Yes"/>
    <x v="0"/>
    <x v="0"/>
    <n v="1"/>
    <x v="0"/>
  </r>
  <r>
    <s v="E024"/>
    <n v="41"/>
    <x v="1"/>
    <x v="3"/>
    <x v="3"/>
    <n v="7300"/>
    <n v="4"/>
    <n v="10"/>
    <s v="No"/>
    <x v="1"/>
    <x v="2"/>
    <n v="0"/>
    <x v="1"/>
  </r>
  <r>
    <s v="E025"/>
    <n v="27"/>
    <x v="1"/>
    <x v="0"/>
    <x v="0"/>
    <n v="3600"/>
    <n v="2"/>
    <n v="2"/>
    <s v="Yes"/>
    <x v="2"/>
    <x v="0"/>
    <n v="1"/>
    <x v="2"/>
  </r>
  <r>
    <s v="E026"/>
    <n v="35"/>
    <x v="0"/>
    <x v="1"/>
    <x v="6"/>
    <n v="6400"/>
    <n v="4"/>
    <n v="7"/>
    <s v="No"/>
    <x v="1"/>
    <x v="1"/>
    <n v="0"/>
    <x v="1"/>
  </r>
  <r>
    <s v="E027"/>
    <n v="31"/>
    <x v="1"/>
    <x v="2"/>
    <x v="2"/>
    <n v="4600"/>
    <n v="3"/>
    <n v="5"/>
    <s v="No"/>
    <x v="2"/>
    <x v="1"/>
    <n v="0"/>
    <x v="2"/>
  </r>
  <r>
    <s v="E028"/>
    <n v="43"/>
    <x v="0"/>
    <x v="3"/>
    <x v="5"/>
    <n v="6900"/>
    <n v="4"/>
    <n v="12"/>
    <s v="No"/>
    <x v="1"/>
    <x v="1"/>
    <n v="0"/>
    <x v="3"/>
  </r>
  <r>
    <s v="E029"/>
    <n v="22"/>
    <x v="0"/>
    <x v="0"/>
    <x v="0"/>
    <n v="2900"/>
    <n v="1"/>
    <n v="1"/>
    <s v="Yes"/>
    <x v="0"/>
    <x v="0"/>
    <n v="1"/>
    <x v="0"/>
  </r>
  <r>
    <s v="E030"/>
    <n v="37"/>
    <x v="1"/>
    <x v="1"/>
    <x v="1"/>
    <n v="6300"/>
    <n v="3"/>
    <n v="8"/>
    <s v="No"/>
    <x v="1"/>
    <x v="1"/>
    <n v="0"/>
    <x v="1"/>
  </r>
  <r>
    <s v="E031"/>
    <n v="28"/>
    <x v="0"/>
    <x v="2"/>
    <x v="4"/>
    <n v="4300"/>
    <n v="3"/>
    <n v="3"/>
    <s v="No"/>
    <x v="2"/>
    <x v="1"/>
    <n v="0"/>
    <x v="2"/>
  </r>
  <r>
    <s v="E032"/>
    <n v="46"/>
    <x v="1"/>
    <x v="3"/>
    <x v="8"/>
    <n v="8500"/>
    <n v="4"/>
    <n v="14"/>
    <s v="No"/>
    <x v="3"/>
    <x v="2"/>
    <n v="0"/>
    <x v="3"/>
  </r>
  <r>
    <s v="E033"/>
    <n v="26"/>
    <x v="1"/>
    <x v="0"/>
    <x v="0"/>
    <n v="3400"/>
    <n v="2"/>
    <n v="2"/>
    <s v="Yes"/>
    <x v="2"/>
    <x v="0"/>
    <n v="1"/>
    <x v="2"/>
  </r>
  <r>
    <s v="E034"/>
    <n v="34"/>
    <x v="0"/>
    <x v="1"/>
    <x v="6"/>
    <n v="6100"/>
    <n v="4"/>
    <n v="6"/>
    <s v="No"/>
    <x v="2"/>
    <x v="1"/>
    <n v="0"/>
    <x v="1"/>
  </r>
  <r>
    <s v="E035"/>
    <n v="30"/>
    <x v="1"/>
    <x v="2"/>
    <x v="2"/>
    <n v="4400"/>
    <n v="3"/>
    <n v="4"/>
    <s v="No"/>
    <x v="2"/>
    <x v="1"/>
    <n v="0"/>
    <x v="2"/>
  </r>
  <r>
    <s v="E036"/>
    <n v="42"/>
    <x v="0"/>
    <x v="3"/>
    <x v="3"/>
    <n v="7600"/>
    <n v="4"/>
    <n v="11"/>
    <s v="No"/>
    <x v="1"/>
    <x v="2"/>
    <n v="0"/>
    <x v="3"/>
  </r>
  <r>
    <s v="E037"/>
    <n v="25"/>
    <x v="0"/>
    <x v="0"/>
    <x v="0"/>
    <n v="3100"/>
    <n v="2"/>
    <n v="1"/>
    <s v="Yes"/>
    <x v="2"/>
    <x v="0"/>
    <n v="1"/>
    <x v="0"/>
  </r>
  <r>
    <s v="E038"/>
    <n v="39"/>
    <x v="1"/>
    <x v="1"/>
    <x v="1"/>
    <n v="6700"/>
    <n v="3"/>
    <n v="9"/>
    <s v="No"/>
    <x v="1"/>
    <x v="1"/>
    <n v="0"/>
    <x v="1"/>
  </r>
  <r>
    <s v="E039"/>
    <n v="33"/>
    <x v="0"/>
    <x v="2"/>
    <x v="4"/>
    <n v="4700"/>
    <n v="4"/>
    <n v="6"/>
    <s v="No"/>
    <x v="2"/>
    <x v="1"/>
    <n v="0"/>
    <x v="1"/>
  </r>
  <r>
    <s v="E040"/>
    <n v="48"/>
    <x v="1"/>
    <x v="3"/>
    <x v="5"/>
    <n v="7100"/>
    <n v="3"/>
    <n v="16"/>
    <s v="No"/>
    <x v="3"/>
    <x v="2"/>
    <n v="0"/>
    <x v="3"/>
  </r>
  <r>
    <s v="E041"/>
    <n v="27"/>
    <x v="0"/>
    <x v="0"/>
    <x v="0"/>
    <n v="3500"/>
    <n v="2"/>
    <n v="2"/>
    <s v="Yes"/>
    <x v="2"/>
    <x v="0"/>
    <n v="1"/>
    <x v="2"/>
  </r>
  <r>
    <s v="E042"/>
    <n v="36"/>
    <x v="1"/>
    <x v="1"/>
    <x v="6"/>
    <n v="6200"/>
    <n v="4"/>
    <n v="7"/>
    <s v="No"/>
    <x v="1"/>
    <x v="1"/>
    <n v="0"/>
    <x v="1"/>
  </r>
  <r>
    <s v="E043"/>
    <n v="29"/>
    <x v="1"/>
    <x v="2"/>
    <x v="2"/>
    <n v="4500"/>
    <n v="3"/>
    <n v="4"/>
    <s v="No"/>
    <x v="2"/>
    <x v="1"/>
    <n v="0"/>
    <x v="2"/>
  </r>
  <r>
    <s v="E044"/>
    <n v="44"/>
    <x v="0"/>
    <x v="3"/>
    <x v="3"/>
    <n v="7400"/>
    <n v="4"/>
    <n v="12"/>
    <s v="No"/>
    <x v="1"/>
    <x v="2"/>
    <n v="0"/>
    <x v="3"/>
  </r>
  <r>
    <s v="E045"/>
    <n v="23"/>
    <x v="0"/>
    <x v="0"/>
    <x v="0"/>
    <n v="3000"/>
    <n v="1"/>
    <n v="1"/>
    <s v="Yes"/>
    <x v="0"/>
    <x v="0"/>
    <n v="1"/>
    <x v="0"/>
  </r>
  <r>
    <s v="E046"/>
    <n v="31"/>
    <x v="1"/>
    <x v="1"/>
    <x v="1"/>
    <n v="5700"/>
    <n v="3"/>
    <n v="5"/>
    <s v="No"/>
    <x v="2"/>
    <x v="1"/>
    <n v="0"/>
    <x v="2"/>
  </r>
  <r>
    <s v="E047"/>
    <n v="38"/>
    <x v="0"/>
    <x v="2"/>
    <x v="4"/>
    <n v="5000"/>
    <n v="4"/>
    <n v="9"/>
    <s v="No"/>
    <x v="1"/>
    <x v="1"/>
    <n v="0"/>
    <x v="1"/>
  </r>
  <r>
    <s v="E048"/>
    <n v="40"/>
    <x v="1"/>
    <x v="3"/>
    <x v="5"/>
    <n v="6800"/>
    <n v="3"/>
    <n v="10"/>
    <s v="No"/>
    <x v="1"/>
    <x v="1"/>
    <n v="0"/>
    <x v="1"/>
  </r>
  <r>
    <s v="E049"/>
    <n v="26"/>
    <x v="0"/>
    <x v="0"/>
    <x v="0"/>
    <n v="3300"/>
    <n v="2"/>
    <n v="2"/>
    <s v="Yes"/>
    <x v="2"/>
    <x v="0"/>
    <n v="1"/>
    <x v="2"/>
  </r>
  <r>
    <s v="E050"/>
    <n v="35"/>
    <x v="1"/>
    <x v="1"/>
    <x v="6"/>
    <n v="6500"/>
    <n v="4"/>
    <n v="7"/>
    <s v="No"/>
    <x v="1"/>
    <x v="1"/>
    <n v="0"/>
    <x v="1"/>
  </r>
  <r>
    <s v="E051"/>
    <n v="30"/>
    <x v="0"/>
    <x v="2"/>
    <x v="2"/>
    <n v="4300"/>
    <n v="3"/>
    <n v="4"/>
    <s v="No"/>
    <x v="2"/>
    <x v="1"/>
    <n v="0"/>
    <x v="2"/>
  </r>
  <r>
    <s v="E052"/>
    <n v="45"/>
    <x v="1"/>
    <x v="3"/>
    <x v="8"/>
    <n v="8800"/>
    <n v="4"/>
    <n v="13"/>
    <s v="No"/>
    <x v="3"/>
    <x v="2"/>
    <n v="0"/>
    <x v="3"/>
  </r>
  <r>
    <s v="E053"/>
    <n v="24"/>
    <x v="1"/>
    <x v="0"/>
    <x v="0"/>
    <n v="3100"/>
    <n v="1"/>
    <n v="1"/>
    <s v="Yes"/>
    <x v="0"/>
    <x v="0"/>
    <n v="1"/>
    <x v="0"/>
  </r>
  <r>
    <s v="E054"/>
    <n v="33"/>
    <x v="0"/>
    <x v="1"/>
    <x v="1"/>
    <n v="6000"/>
    <n v="3"/>
    <n v="6"/>
    <s v="No"/>
    <x v="2"/>
    <x v="1"/>
    <n v="0"/>
    <x v="1"/>
  </r>
  <r>
    <s v="E055"/>
    <n v="28"/>
    <x v="1"/>
    <x v="2"/>
    <x v="4"/>
    <n v="4200"/>
    <n v="3"/>
    <n v="3"/>
    <s v="No"/>
    <x v="2"/>
    <x v="1"/>
    <n v="0"/>
    <x v="2"/>
  </r>
  <r>
    <s v="E056"/>
    <n v="41"/>
    <x v="0"/>
    <x v="3"/>
    <x v="3"/>
    <n v="7200"/>
    <n v="4"/>
    <n v="10"/>
    <s v="No"/>
    <x v="1"/>
    <x v="2"/>
    <n v="0"/>
    <x v="1"/>
  </r>
  <r>
    <s v="E057"/>
    <n v="27"/>
    <x v="0"/>
    <x v="0"/>
    <x v="0"/>
    <n v="3500"/>
    <n v="2"/>
    <n v="2"/>
    <s v="Yes"/>
    <x v="2"/>
    <x v="0"/>
    <n v="1"/>
    <x v="2"/>
  </r>
  <r>
    <s v="E058"/>
    <n v="37"/>
    <x v="1"/>
    <x v="1"/>
    <x v="6"/>
    <n v="6300"/>
    <n v="4"/>
    <n v="8"/>
    <s v="No"/>
    <x v="1"/>
    <x v="1"/>
    <n v="0"/>
    <x v="1"/>
  </r>
  <r>
    <s v="E059"/>
    <n v="32"/>
    <x v="0"/>
    <x v="2"/>
    <x v="2"/>
    <n v="4600"/>
    <n v="3"/>
    <n v="5"/>
    <s v="No"/>
    <x v="2"/>
    <x v="1"/>
    <n v="0"/>
    <x v="2"/>
  </r>
  <r>
    <s v="E060"/>
    <n v="46"/>
    <x v="1"/>
    <x v="3"/>
    <x v="5"/>
    <n v="7000"/>
    <n v="4"/>
    <n v="14"/>
    <s v="No"/>
    <x v="3"/>
    <x v="2"/>
    <n v="0"/>
    <x v="3"/>
  </r>
  <r>
    <s v="E061"/>
    <n v="25"/>
    <x v="1"/>
    <x v="0"/>
    <x v="0"/>
    <n v="3200"/>
    <n v="2"/>
    <n v="1"/>
    <s v="Yes"/>
    <x v="2"/>
    <x v="0"/>
    <n v="1"/>
    <x v="0"/>
  </r>
  <r>
    <s v="E062"/>
    <n v="34"/>
    <x v="0"/>
    <x v="1"/>
    <x v="1"/>
    <n v="5900"/>
    <n v="3"/>
    <n v="6"/>
    <s v="No"/>
    <x v="2"/>
    <x v="1"/>
    <n v="0"/>
    <x v="1"/>
  </r>
  <r>
    <s v="E063"/>
    <n v="29"/>
    <x v="1"/>
    <x v="2"/>
    <x v="4"/>
    <n v="4400"/>
    <n v="3"/>
    <n v="4"/>
    <s v="No"/>
    <x v="2"/>
    <x v="1"/>
    <n v="0"/>
    <x v="2"/>
  </r>
  <r>
    <s v="E064"/>
    <n v="43"/>
    <x v="0"/>
    <x v="3"/>
    <x v="3"/>
    <n v="7500"/>
    <n v="4"/>
    <n v="12"/>
    <s v="No"/>
    <x v="1"/>
    <x v="2"/>
    <n v="0"/>
    <x v="3"/>
  </r>
  <r>
    <s v="E065"/>
    <n v="22"/>
    <x v="1"/>
    <x v="0"/>
    <x v="0"/>
    <n v="2900"/>
    <n v="1"/>
    <n v="1"/>
    <s v="Yes"/>
    <x v="0"/>
    <x v="0"/>
    <n v="1"/>
    <x v="0"/>
  </r>
  <r>
    <s v="E066"/>
    <n v="36"/>
    <x v="0"/>
    <x v="1"/>
    <x v="6"/>
    <n v="6100"/>
    <n v="4"/>
    <n v="7"/>
    <s v="No"/>
    <x v="1"/>
    <x v="1"/>
    <n v="0"/>
    <x v="1"/>
  </r>
  <r>
    <s v="E067"/>
    <n v="31"/>
    <x v="1"/>
    <x v="2"/>
    <x v="2"/>
    <n v="4500"/>
    <n v="3"/>
    <n v="5"/>
    <s v="No"/>
    <x v="2"/>
    <x v="1"/>
    <n v="0"/>
    <x v="2"/>
  </r>
  <r>
    <s v="E068"/>
    <n v="47"/>
    <x v="0"/>
    <x v="3"/>
    <x v="8"/>
    <n v="9000"/>
    <n v="4"/>
    <n v="15"/>
    <s v="No"/>
    <x v="3"/>
    <x v="2"/>
    <n v="0"/>
    <x v="3"/>
  </r>
  <r>
    <s v="E069"/>
    <n v="26"/>
    <x v="0"/>
    <x v="0"/>
    <x v="0"/>
    <n v="3400"/>
    <n v="2"/>
    <n v="2"/>
    <s v="Yes"/>
    <x v="2"/>
    <x v="0"/>
    <n v="1"/>
    <x v="2"/>
  </r>
  <r>
    <s v="E070"/>
    <n v="39"/>
    <x v="1"/>
    <x v="1"/>
    <x v="1"/>
    <n v="6600"/>
    <n v="3"/>
    <n v="9"/>
    <s v="No"/>
    <x v="1"/>
    <x v="1"/>
    <n v="0"/>
    <x v="1"/>
  </r>
  <r>
    <s v="E071"/>
    <n v="33"/>
    <x v="0"/>
    <x v="2"/>
    <x v="4"/>
    <n v="4800"/>
    <n v="4"/>
    <n v="6"/>
    <s v="No"/>
    <x v="2"/>
    <x v="1"/>
    <n v="0"/>
    <x v="1"/>
  </r>
  <r>
    <s v="E072"/>
    <n v="42"/>
    <x v="1"/>
    <x v="3"/>
    <x v="5"/>
    <n v="6900"/>
    <n v="3"/>
    <n v="11"/>
    <s v="No"/>
    <x v="1"/>
    <x v="1"/>
    <n v="0"/>
    <x v="3"/>
  </r>
  <r>
    <s v="E073"/>
    <n v="28"/>
    <x v="1"/>
    <x v="0"/>
    <x v="0"/>
    <n v="3600"/>
    <n v="2"/>
    <n v="3"/>
    <s v="No"/>
    <x v="2"/>
    <x v="0"/>
    <n v="0"/>
    <x v="2"/>
  </r>
  <r>
    <s v="E074"/>
    <n v="35"/>
    <x v="0"/>
    <x v="1"/>
    <x v="6"/>
    <n v="6400"/>
    <n v="4"/>
    <n v="7"/>
    <s v="No"/>
    <x v="1"/>
    <x v="1"/>
    <n v="0"/>
    <x v="1"/>
  </r>
  <r>
    <s v="E075"/>
    <n v="24"/>
    <x v="0"/>
    <x v="2"/>
    <x v="4"/>
    <n v="3800"/>
    <n v="1"/>
    <n v="1"/>
    <s v="Yes"/>
    <x v="0"/>
    <x v="0"/>
    <n v="1"/>
    <x v="0"/>
  </r>
  <r>
    <s v="E076"/>
    <n v="40"/>
    <x v="1"/>
    <x v="3"/>
    <x v="3"/>
    <n v="7300"/>
    <n v="4"/>
    <n v="10"/>
    <s v="No"/>
    <x v="1"/>
    <x v="2"/>
    <n v="0"/>
    <x v="1"/>
  </r>
  <r>
    <s v="E077"/>
    <n v="27"/>
    <x v="0"/>
    <x v="0"/>
    <x v="0"/>
    <n v="3300"/>
    <n v="2"/>
    <n v="2"/>
    <s v="Yes"/>
    <x v="2"/>
    <x v="0"/>
    <n v="1"/>
    <x v="2"/>
  </r>
  <r>
    <s v="E078"/>
    <n v="32"/>
    <x v="1"/>
    <x v="1"/>
    <x v="1"/>
    <n v="5800"/>
    <n v="3"/>
    <n v="5"/>
    <s v="No"/>
    <x v="2"/>
    <x v="1"/>
    <n v="0"/>
    <x v="2"/>
  </r>
  <r>
    <s v="E079"/>
    <n v="38"/>
    <x v="0"/>
    <x v="2"/>
    <x v="2"/>
    <n v="5000"/>
    <n v="4"/>
    <n v="8"/>
    <s v="No"/>
    <x v="1"/>
    <x v="1"/>
    <n v="0"/>
    <x v="1"/>
  </r>
  <r>
    <s v="E080"/>
    <n v="45"/>
    <x v="1"/>
    <x v="3"/>
    <x v="5"/>
    <n v="7100"/>
    <n v="3"/>
    <n v="13"/>
    <s v="No"/>
    <x v="3"/>
    <x v="2"/>
    <n v="0"/>
    <x v="3"/>
  </r>
  <r>
    <s v="E081"/>
    <n v="23"/>
    <x v="1"/>
    <x v="0"/>
    <x v="0"/>
    <n v="3000"/>
    <n v="1"/>
    <n v="1"/>
    <s v="Yes"/>
    <x v="0"/>
    <x v="0"/>
    <n v="1"/>
    <x v="0"/>
  </r>
  <r>
    <s v="E082"/>
    <n v="37"/>
    <x v="0"/>
    <x v="1"/>
    <x v="6"/>
    <n v="6200"/>
    <n v="4"/>
    <n v="8"/>
    <s v="No"/>
    <x v="1"/>
    <x v="1"/>
    <n v="0"/>
    <x v="1"/>
  </r>
  <r>
    <s v="E083"/>
    <n v="30"/>
    <x v="1"/>
    <x v="2"/>
    <x v="4"/>
    <n v="4500"/>
    <n v="3"/>
    <n v="4"/>
    <s v="No"/>
    <x v="2"/>
    <x v="1"/>
    <n v="0"/>
    <x v="2"/>
  </r>
  <r>
    <s v="E084"/>
    <n v="44"/>
    <x v="0"/>
    <x v="3"/>
    <x v="3"/>
    <n v="7600"/>
    <n v="4"/>
    <n v="12"/>
    <s v="No"/>
    <x v="1"/>
    <x v="2"/>
    <n v="0"/>
    <x v="3"/>
  </r>
  <r>
    <s v="E085"/>
    <n v="26"/>
    <x v="0"/>
    <x v="0"/>
    <x v="0"/>
    <n v="3500"/>
    <n v="2"/>
    <n v="2"/>
    <s v="Yes"/>
    <x v="2"/>
    <x v="0"/>
    <n v="1"/>
    <x v="2"/>
  </r>
  <r>
    <s v="E086"/>
    <n v="34"/>
    <x v="1"/>
    <x v="1"/>
    <x v="1"/>
    <n v="6000"/>
    <n v="3"/>
    <n v="6"/>
    <s v="No"/>
    <x v="2"/>
    <x v="1"/>
    <n v="0"/>
    <x v="1"/>
  </r>
  <r>
    <s v="E087"/>
    <n v="29"/>
    <x v="0"/>
    <x v="2"/>
    <x v="2"/>
    <n v="4300"/>
    <n v="3"/>
    <n v="4"/>
    <s v="No"/>
    <x v="2"/>
    <x v="1"/>
    <n v="0"/>
    <x v="2"/>
  </r>
  <r>
    <s v="E088"/>
    <n v="41"/>
    <x v="1"/>
    <x v="3"/>
    <x v="5"/>
    <n v="6800"/>
    <n v="4"/>
    <n v="10"/>
    <s v="No"/>
    <x v="1"/>
    <x v="1"/>
    <n v="0"/>
    <x v="1"/>
  </r>
  <r>
    <s v="E089"/>
    <n v="25"/>
    <x v="0"/>
    <x v="0"/>
    <x v="0"/>
    <n v="3200"/>
    <n v="2"/>
    <n v="1"/>
    <s v="Yes"/>
    <x v="2"/>
    <x v="0"/>
    <n v="1"/>
    <x v="0"/>
  </r>
  <r>
    <s v="E090"/>
    <n v="36"/>
    <x v="1"/>
    <x v="1"/>
    <x v="6"/>
    <n v="6300"/>
    <n v="4"/>
    <n v="7"/>
    <s v="No"/>
    <x v="1"/>
    <x v="1"/>
    <n v="0"/>
    <x v="1"/>
  </r>
  <r>
    <s v="E091"/>
    <n v="31"/>
    <x v="0"/>
    <x v="2"/>
    <x v="4"/>
    <n v="4700"/>
    <n v="3"/>
    <n v="5"/>
    <s v="No"/>
    <x v="2"/>
    <x v="1"/>
    <n v="0"/>
    <x v="2"/>
  </r>
  <r>
    <s v="E092"/>
    <n v="48"/>
    <x v="1"/>
    <x v="3"/>
    <x v="8"/>
    <n v="9100"/>
    <n v="4"/>
    <n v="16"/>
    <s v="No"/>
    <x v="3"/>
    <x v="2"/>
    <n v="0"/>
    <x v="3"/>
  </r>
  <r>
    <s v="E093"/>
    <n v="27"/>
    <x v="1"/>
    <x v="0"/>
    <x v="0"/>
    <n v="3400"/>
    <n v="2"/>
    <n v="2"/>
    <s v="Yes"/>
    <x v="2"/>
    <x v="0"/>
    <n v="1"/>
    <x v="2"/>
  </r>
  <r>
    <s v="E094"/>
    <n v="33"/>
    <x v="0"/>
    <x v="1"/>
    <x v="1"/>
    <n v="5900"/>
    <n v="3"/>
    <n v="6"/>
    <s v="No"/>
    <x v="2"/>
    <x v="1"/>
    <n v="0"/>
    <x v="1"/>
  </r>
  <r>
    <s v="E095"/>
    <n v="28"/>
    <x v="1"/>
    <x v="2"/>
    <x v="2"/>
    <n v="4200"/>
    <n v="3"/>
    <n v="3"/>
    <s v="No"/>
    <x v="2"/>
    <x v="1"/>
    <n v="0"/>
    <x v="2"/>
  </r>
  <r>
    <s v="E096"/>
    <n v="43"/>
    <x v="0"/>
    <x v="3"/>
    <x v="3"/>
    <n v="7400"/>
    <n v="4"/>
    <n v="11"/>
    <s v="No"/>
    <x v="1"/>
    <x v="2"/>
    <n v="0"/>
    <x v="3"/>
  </r>
  <r>
    <s v="E097"/>
    <n v="24"/>
    <x v="0"/>
    <x v="0"/>
    <x v="0"/>
    <n v="3000"/>
    <n v="1"/>
    <n v="1"/>
    <s v="Yes"/>
    <x v="0"/>
    <x v="0"/>
    <n v="1"/>
    <x v="0"/>
  </r>
  <r>
    <s v="E098"/>
    <n v="39"/>
    <x v="1"/>
    <x v="1"/>
    <x v="1"/>
    <n v="6700"/>
    <n v="3"/>
    <n v="9"/>
    <s v="No"/>
    <x v="1"/>
    <x v="1"/>
    <n v="0"/>
    <x v="1"/>
  </r>
  <r>
    <s v="E099"/>
    <n v="35"/>
    <x v="0"/>
    <x v="2"/>
    <x v="4"/>
    <n v="4900"/>
    <n v="4"/>
    <n v="7"/>
    <s v="No"/>
    <x v="1"/>
    <x v="1"/>
    <n v="0"/>
    <x v="1"/>
  </r>
  <r>
    <s v="E100"/>
    <n v="46"/>
    <x v="1"/>
    <x v="3"/>
    <x v="5"/>
    <n v="7000"/>
    <n v="3"/>
    <n v="14"/>
    <s v="No"/>
    <x v="3"/>
    <x v="2"/>
    <n v="0"/>
    <x v="3"/>
  </r>
  <r>
    <s v="E101"/>
    <n v="26"/>
    <x v="1"/>
    <x v="0"/>
    <x v="0"/>
    <n v="3300"/>
    <n v="2"/>
    <n v="2"/>
    <s v="Yes"/>
    <x v="2"/>
    <x v="0"/>
    <n v="1"/>
    <x v="2"/>
  </r>
  <r>
    <s v="E102"/>
    <n v="31"/>
    <x v="0"/>
    <x v="1"/>
    <x v="6"/>
    <n v="6100"/>
    <n v="4"/>
    <n v="5"/>
    <s v="No"/>
    <x v="2"/>
    <x v="1"/>
    <n v="0"/>
    <x v="2"/>
  </r>
  <r>
    <s v="E103"/>
    <n v="37"/>
    <x v="1"/>
    <x v="2"/>
    <x v="2"/>
    <n v="4800"/>
    <n v="3"/>
    <n v="8"/>
    <s v="No"/>
    <x v="1"/>
    <x v="1"/>
    <n v="0"/>
    <x v="1"/>
  </r>
  <r>
    <s v="E104"/>
    <n v="42"/>
    <x v="0"/>
    <x v="3"/>
    <x v="3"/>
    <n v="7500"/>
    <n v="4"/>
    <n v="11"/>
    <s v="No"/>
    <x v="1"/>
    <x v="2"/>
    <n v="0"/>
    <x v="3"/>
  </r>
  <r>
    <s v="E105"/>
    <n v="23"/>
    <x v="0"/>
    <x v="0"/>
    <x v="0"/>
    <n v="2900"/>
    <n v="1"/>
    <n v="1"/>
    <s v="Yes"/>
    <x v="0"/>
    <x v="0"/>
    <n v="1"/>
    <x v="0"/>
  </r>
  <r>
    <s v="E106"/>
    <n v="35"/>
    <x v="1"/>
    <x v="1"/>
    <x v="1"/>
    <n v="6200"/>
    <n v="3"/>
    <n v="7"/>
    <s v="No"/>
    <x v="1"/>
    <x v="1"/>
    <n v="0"/>
    <x v="1"/>
  </r>
  <r>
    <s v="E107"/>
    <n v="29"/>
    <x v="0"/>
    <x v="2"/>
    <x v="4"/>
    <n v="4400"/>
    <n v="3"/>
    <n v="4"/>
    <s v="No"/>
    <x v="2"/>
    <x v="1"/>
    <n v="0"/>
    <x v="2"/>
  </r>
  <r>
    <s v="E108"/>
    <n v="45"/>
    <x v="1"/>
    <x v="3"/>
    <x v="8"/>
    <n v="8700"/>
    <n v="4"/>
    <n v="13"/>
    <s v="No"/>
    <x v="3"/>
    <x v="2"/>
    <n v="0"/>
    <x v="3"/>
  </r>
  <r>
    <s v="E109"/>
    <n v="27"/>
    <x v="0"/>
    <x v="0"/>
    <x v="0"/>
    <n v="3500"/>
    <n v="2"/>
    <n v="2"/>
    <s v="Yes"/>
    <x v="2"/>
    <x v="0"/>
    <n v="1"/>
    <x v="2"/>
  </r>
  <r>
    <s v="E110"/>
    <n v="38"/>
    <x v="1"/>
    <x v="1"/>
    <x v="6"/>
    <n v="6400"/>
    <n v="4"/>
    <n v="8"/>
    <s v="No"/>
    <x v="1"/>
    <x v="1"/>
    <n v="0"/>
    <x v="1"/>
  </r>
  <r>
    <s v="E111"/>
    <n v="32"/>
    <x v="0"/>
    <x v="2"/>
    <x v="2"/>
    <n v="4600"/>
    <n v="3"/>
    <n v="5"/>
    <s v="No"/>
    <x v="2"/>
    <x v="1"/>
    <n v="0"/>
    <x v="2"/>
  </r>
  <r>
    <s v="E112"/>
    <n v="40"/>
    <x v="1"/>
    <x v="3"/>
    <x v="5"/>
    <n v="6900"/>
    <n v="3"/>
    <n v="10"/>
    <s v="No"/>
    <x v="1"/>
    <x v="1"/>
    <n v="0"/>
    <x v="1"/>
  </r>
  <r>
    <s v="E113"/>
    <n v="25"/>
    <x v="1"/>
    <x v="0"/>
    <x v="0"/>
    <n v="3100"/>
    <n v="2"/>
    <n v="1"/>
    <s v="Yes"/>
    <x v="2"/>
    <x v="0"/>
    <n v="1"/>
    <x v="0"/>
  </r>
  <r>
    <s v="E114"/>
    <n v="34"/>
    <x v="0"/>
    <x v="1"/>
    <x v="1"/>
    <n v="5900"/>
    <n v="3"/>
    <n v="6"/>
    <s v="No"/>
    <x v="2"/>
    <x v="1"/>
    <n v="0"/>
    <x v="1"/>
  </r>
  <r>
    <s v="E115"/>
    <n v="30"/>
    <x v="1"/>
    <x v="2"/>
    <x v="4"/>
    <n v="4500"/>
    <n v="3"/>
    <n v="4"/>
    <s v="No"/>
    <x v="2"/>
    <x v="1"/>
    <n v="0"/>
    <x v="2"/>
  </r>
  <r>
    <s v="E116"/>
    <n v="44"/>
    <x v="0"/>
    <x v="3"/>
    <x v="3"/>
    <n v="7600"/>
    <n v="4"/>
    <n v="12"/>
    <s v="No"/>
    <x v="1"/>
    <x v="2"/>
    <n v="0"/>
    <x v="3"/>
  </r>
  <r>
    <s v="E117"/>
    <n v="24"/>
    <x v="1"/>
    <x v="0"/>
    <x v="0"/>
    <n v="3000"/>
    <n v="1"/>
    <n v="1"/>
    <s v="Yes"/>
    <x v="0"/>
    <x v="0"/>
    <n v="1"/>
    <x v="0"/>
  </r>
  <r>
    <s v="E118"/>
    <n v="36"/>
    <x v="0"/>
    <x v="1"/>
    <x v="6"/>
    <n v="6200"/>
    <n v="4"/>
    <n v="7"/>
    <s v="No"/>
    <x v="1"/>
    <x v="1"/>
    <n v="0"/>
    <x v="1"/>
  </r>
  <r>
    <s v="E119"/>
    <n v="28"/>
    <x v="1"/>
    <x v="2"/>
    <x v="2"/>
    <n v="4300"/>
    <n v="3"/>
    <n v="3"/>
    <s v="No"/>
    <x v="2"/>
    <x v="1"/>
    <n v="0"/>
    <x v="2"/>
  </r>
  <r>
    <s v="E120"/>
    <n v="47"/>
    <x v="0"/>
    <x v="3"/>
    <x v="8"/>
    <n v="9200"/>
    <n v="4"/>
    <n v="15"/>
    <s v="No"/>
    <x v="3"/>
    <x v="2"/>
    <n v="0"/>
    <x v="3"/>
  </r>
  <r>
    <s v="E121"/>
    <n v="27"/>
    <x v="0"/>
    <x v="0"/>
    <x v="0"/>
    <n v="3400"/>
    <n v="2"/>
    <n v="2"/>
    <s v="Yes"/>
    <x v="2"/>
    <x v="0"/>
    <n v="1"/>
    <x v="2"/>
  </r>
  <r>
    <s v="E122"/>
    <n v="33"/>
    <x v="1"/>
    <x v="1"/>
    <x v="1"/>
    <n v="6000"/>
    <n v="3"/>
    <n v="6"/>
    <s v="No"/>
    <x v="2"/>
    <x v="1"/>
    <n v="0"/>
    <x v="1"/>
  </r>
  <r>
    <s v="E123"/>
    <n v="39"/>
    <x v="0"/>
    <x v="2"/>
    <x v="4"/>
    <n v="5000"/>
    <n v="4"/>
    <n v="9"/>
    <s v="No"/>
    <x v="1"/>
    <x v="1"/>
    <n v="0"/>
    <x v="1"/>
  </r>
  <r>
    <s v="E124"/>
    <n v="41"/>
    <x v="1"/>
    <x v="3"/>
    <x v="5"/>
    <n v="6800"/>
    <n v="3"/>
    <n v="10"/>
    <s v="No"/>
    <x v="1"/>
    <x v="1"/>
    <n v="0"/>
    <x v="1"/>
  </r>
  <r>
    <s v="E125"/>
    <n v="22"/>
    <x v="0"/>
    <x v="0"/>
    <x v="0"/>
    <n v="2900"/>
    <n v="1"/>
    <n v="1"/>
    <s v="Yes"/>
    <x v="0"/>
    <x v="0"/>
    <n v="1"/>
    <x v="0"/>
  </r>
  <r>
    <s v="E126"/>
    <n v="35"/>
    <x v="1"/>
    <x v="1"/>
    <x v="6"/>
    <n v="6500"/>
    <n v="4"/>
    <n v="7"/>
    <s v="No"/>
    <x v="1"/>
    <x v="1"/>
    <n v="0"/>
    <x v="1"/>
  </r>
  <r>
    <s v="E127"/>
    <n v="31"/>
    <x v="0"/>
    <x v="2"/>
    <x v="2"/>
    <n v="4500"/>
    <n v="3"/>
    <n v="5"/>
    <s v="No"/>
    <x v="2"/>
    <x v="1"/>
    <n v="0"/>
    <x v="2"/>
  </r>
  <r>
    <s v="E128"/>
    <n v="43"/>
    <x v="1"/>
    <x v="3"/>
    <x v="3"/>
    <n v="7300"/>
    <n v="4"/>
    <n v="12"/>
    <s v="No"/>
    <x v="1"/>
    <x v="2"/>
    <n v="0"/>
    <x v="3"/>
  </r>
  <r>
    <s v="E129"/>
    <n v="26"/>
    <x v="1"/>
    <x v="0"/>
    <x v="0"/>
    <n v="3300"/>
    <n v="2"/>
    <n v="2"/>
    <s v="Yes"/>
    <x v="2"/>
    <x v="0"/>
    <n v="1"/>
    <x v="2"/>
  </r>
  <r>
    <s v="E130"/>
    <n v="37"/>
    <x v="0"/>
    <x v="1"/>
    <x v="1"/>
    <n v="6300"/>
    <n v="3"/>
    <n v="8"/>
    <s v="No"/>
    <x v="1"/>
    <x v="1"/>
    <n v="0"/>
    <x v="1"/>
  </r>
  <r>
    <s v="E131"/>
    <n v="29"/>
    <x v="1"/>
    <x v="2"/>
    <x v="4"/>
    <n v="4400"/>
    <n v="3"/>
    <n v="4"/>
    <s v="No"/>
    <x v="2"/>
    <x v="1"/>
    <n v="0"/>
    <x v="2"/>
  </r>
  <r>
    <s v="E132"/>
    <n v="46"/>
    <x v="0"/>
    <x v="3"/>
    <x v="8"/>
    <n v="8900"/>
    <n v="4"/>
    <n v="14"/>
    <s v="No"/>
    <x v="3"/>
    <x v="2"/>
    <n v="0"/>
    <x v="3"/>
  </r>
  <r>
    <s v="E133"/>
    <n v="25"/>
    <x v="0"/>
    <x v="0"/>
    <x v="0"/>
    <n v="3100"/>
    <n v="2"/>
    <n v="1"/>
    <s v="Yes"/>
    <x v="2"/>
    <x v="0"/>
    <n v="1"/>
    <x v="0"/>
  </r>
  <r>
    <s v="E134"/>
    <n v="34"/>
    <x v="1"/>
    <x v="1"/>
    <x v="6"/>
    <n v="6100"/>
    <n v="4"/>
    <n v="6"/>
    <s v="No"/>
    <x v="2"/>
    <x v="1"/>
    <n v="0"/>
    <x v="1"/>
  </r>
  <r>
    <s v="E135"/>
    <n v="30"/>
    <x v="0"/>
    <x v="2"/>
    <x v="2"/>
    <n v="4600"/>
    <n v="3"/>
    <n v="4"/>
    <s v="No"/>
    <x v="2"/>
    <x v="1"/>
    <n v="0"/>
    <x v="2"/>
  </r>
  <r>
    <s v="E136"/>
    <n v="42"/>
    <x v="1"/>
    <x v="3"/>
    <x v="5"/>
    <n v="7000"/>
    <n v="3"/>
    <n v="11"/>
    <s v="No"/>
    <x v="1"/>
    <x v="2"/>
    <n v="0"/>
    <x v="3"/>
  </r>
  <r>
    <s v="E137"/>
    <n v="23"/>
    <x v="1"/>
    <x v="0"/>
    <x v="0"/>
    <n v="3000"/>
    <n v="1"/>
    <n v="1"/>
    <s v="Yes"/>
    <x v="0"/>
    <x v="0"/>
    <n v="1"/>
    <x v="0"/>
  </r>
  <r>
    <s v="E138"/>
    <n v="38"/>
    <x v="0"/>
    <x v="1"/>
    <x v="1"/>
    <n v="6600"/>
    <n v="3"/>
    <n v="9"/>
    <s v="No"/>
    <x v="1"/>
    <x v="1"/>
    <n v="0"/>
    <x v="1"/>
  </r>
  <r>
    <s v="E139"/>
    <n v="32"/>
    <x v="1"/>
    <x v="2"/>
    <x v="4"/>
    <n v="4700"/>
    <n v="4"/>
    <n v="6"/>
    <s v="No"/>
    <x v="2"/>
    <x v="1"/>
    <n v="0"/>
    <x v="1"/>
  </r>
  <r>
    <s v="E140"/>
    <n v="45"/>
    <x v="0"/>
    <x v="3"/>
    <x v="3"/>
    <n v="7500"/>
    <n v="4"/>
    <n v="13"/>
    <s v="No"/>
    <x v="3"/>
    <x v="2"/>
    <n v="0"/>
    <x v="3"/>
  </r>
  <r>
    <s v="E141"/>
    <n v="28"/>
    <x v="0"/>
    <x v="0"/>
    <x v="0"/>
    <n v="3500"/>
    <n v="2"/>
    <n v="3"/>
    <s v="No"/>
    <x v="2"/>
    <x v="0"/>
    <n v="0"/>
    <x v="2"/>
  </r>
  <r>
    <s v="E142"/>
    <n v="36"/>
    <x v="1"/>
    <x v="1"/>
    <x v="6"/>
    <n v="6200"/>
    <n v="4"/>
    <n v="7"/>
    <s v="No"/>
    <x v="1"/>
    <x v="1"/>
    <n v="0"/>
    <x v="1"/>
  </r>
  <r>
    <s v="E143"/>
    <n v="24"/>
    <x v="0"/>
    <x v="2"/>
    <x v="4"/>
    <n v="3900"/>
    <n v="1"/>
    <n v="1"/>
    <s v="Yes"/>
    <x v="0"/>
    <x v="0"/>
    <n v="1"/>
    <x v="0"/>
  </r>
  <r>
    <s v="E144"/>
    <n v="40"/>
    <x v="1"/>
    <x v="3"/>
    <x v="5"/>
    <n v="6900"/>
    <n v="3"/>
    <n v="10"/>
    <s v="No"/>
    <x v="1"/>
    <x v="1"/>
    <n v="0"/>
    <x v="1"/>
  </r>
  <r>
    <s v="E145"/>
    <n v="27"/>
    <x v="1"/>
    <x v="0"/>
    <x v="0"/>
    <n v="3400"/>
    <n v="2"/>
    <n v="2"/>
    <s v="Yes"/>
    <x v="2"/>
    <x v="0"/>
    <n v="1"/>
    <x v="2"/>
  </r>
  <r>
    <s v="E146"/>
    <n v="33"/>
    <x v="0"/>
    <x v="1"/>
    <x v="1"/>
    <n v="5900"/>
    <n v="3"/>
    <n v="6"/>
    <s v="No"/>
    <x v="2"/>
    <x v="1"/>
    <n v="0"/>
    <x v="1"/>
  </r>
  <r>
    <s v="E147"/>
    <n v="39"/>
    <x v="1"/>
    <x v="2"/>
    <x v="2"/>
    <n v="4900"/>
    <n v="4"/>
    <n v="9"/>
    <s v="No"/>
    <x v="1"/>
    <x v="1"/>
    <n v="0"/>
    <x v="1"/>
  </r>
  <r>
    <s v="E148"/>
    <n v="44"/>
    <x v="0"/>
    <x v="3"/>
    <x v="3"/>
    <n v="7600"/>
    <n v="4"/>
    <n v="12"/>
    <s v="No"/>
    <x v="1"/>
    <x v="2"/>
    <n v="0"/>
    <x v="3"/>
  </r>
  <r>
    <s v="E149"/>
    <n v="26"/>
    <x v="0"/>
    <x v="0"/>
    <x v="0"/>
    <n v="3300"/>
    <n v="2"/>
    <n v="2"/>
    <s v="Yes"/>
    <x v="2"/>
    <x v="0"/>
    <n v="1"/>
    <x v="2"/>
  </r>
  <r>
    <s v="E150"/>
    <n v="35"/>
    <x v="1"/>
    <x v="1"/>
    <x v="6"/>
    <n v="6400"/>
    <n v="4"/>
    <n v="7"/>
    <s v="No"/>
    <x v="1"/>
    <x v="1"/>
    <n v="0"/>
    <x v="1"/>
  </r>
  <r>
    <s v="E151"/>
    <n v="31"/>
    <x v="0"/>
    <x v="2"/>
    <x v="4"/>
    <n v="4500"/>
    <n v="3"/>
    <n v="5"/>
    <s v="No"/>
    <x v="2"/>
    <x v="1"/>
    <n v="0"/>
    <x v="2"/>
  </r>
  <r>
    <s v="E152"/>
    <n v="48"/>
    <x v="1"/>
    <x v="3"/>
    <x v="8"/>
    <n v="9300"/>
    <n v="4"/>
    <n v="16"/>
    <s v="No"/>
    <x v="3"/>
    <x v="2"/>
    <n v="0"/>
    <x v="3"/>
  </r>
  <r>
    <s v="E153"/>
    <n v="25"/>
    <x v="1"/>
    <x v="0"/>
    <x v="0"/>
    <n v="3100"/>
    <n v="2"/>
    <n v="1"/>
    <s v="Yes"/>
    <x v="2"/>
    <x v="0"/>
    <n v="1"/>
    <x v="0"/>
  </r>
  <r>
    <s v="E154"/>
    <n v="37"/>
    <x v="0"/>
    <x v="1"/>
    <x v="1"/>
    <n v="6300"/>
    <n v="3"/>
    <n v="8"/>
    <s v="No"/>
    <x v="1"/>
    <x v="1"/>
    <n v="0"/>
    <x v="1"/>
  </r>
  <r>
    <s v="E155"/>
    <n v="29"/>
    <x v="1"/>
    <x v="2"/>
    <x v="2"/>
    <n v="4300"/>
    <n v="3"/>
    <n v="4"/>
    <s v="No"/>
    <x v="2"/>
    <x v="1"/>
    <n v="0"/>
    <x v="2"/>
  </r>
  <r>
    <s v="E156"/>
    <n v="42"/>
    <x v="0"/>
    <x v="3"/>
    <x v="5"/>
    <n v="7000"/>
    <n v="4"/>
    <n v="11"/>
    <s v="No"/>
    <x v="1"/>
    <x v="2"/>
    <n v="0"/>
    <x v="3"/>
  </r>
  <r>
    <s v="E157"/>
    <n v="23"/>
    <x v="0"/>
    <x v="0"/>
    <x v="0"/>
    <n v="2900"/>
    <n v="1"/>
    <n v="1"/>
    <s v="Yes"/>
    <x v="0"/>
    <x v="0"/>
    <n v="1"/>
    <x v="0"/>
  </r>
  <r>
    <s v="E158"/>
    <n v="34"/>
    <x v="1"/>
    <x v="1"/>
    <x v="6"/>
    <n v="6100"/>
    <n v="4"/>
    <n v="6"/>
    <s v="No"/>
    <x v="2"/>
    <x v="1"/>
    <n v="0"/>
    <x v="1"/>
  </r>
  <r>
    <s v="E159"/>
    <n v="30"/>
    <x v="0"/>
    <x v="2"/>
    <x v="4"/>
    <n v="4600"/>
    <n v="3"/>
    <n v="4"/>
    <s v="No"/>
    <x v="2"/>
    <x v="1"/>
    <n v="0"/>
    <x v="2"/>
  </r>
  <r>
    <s v="E160"/>
    <n v="46"/>
    <x v="1"/>
    <x v="3"/>
    <x v="3"/>
    <n v="7800"/>
    <n v="4"/>
    <n v="14"/>
    <s v="No"/>
    <x v="3"/>
    <x v="2"/>
    <n v="0"/>
    <x v="3"/>
  </r>
  <r>
    <s v="E161"/>
    <n v="27"/>
    <x v="0"/>
    <x v="0"/>
    <x v="0"/>
    <n v="3400"/>
    <n v="2"/>
    <n v="2"/>
    <s v="Yes"/>
    <x v="2"/>
    <x v="0"/>
    <n v="1"/>
    <x v="2"/>
  </r>
  <r>
    <s v="E162"/>
    <n v="39"/>
    <x v="1"/>
    <x v="1"/>
    <x v="1"/>
    <n v="6700"/>
    <n v="3"/>
    <n v="9"/>
    <s v="No"/>
    <x v="1"/>
    <x v="1"/>
    <n v="0"/>
    <x v="1"/>
  </r>
  <r>
    <s v="E163"/>
    <n v="32"/>
    <x v="0"/>
    <x v="2"/>
    <x v="2"/>
    <n v="4700"/>
    <n v="4"/>
    <n v="6"/>
    <s v="No"/>
    <x v="2"/>
    <x v="1"/>
    <n v="0"/>
    <x v="1"/>
  </r>
  <r>
    <s v="E164"/>
    <n v="41"/>
    <x v="1"/>
    <x v="3"/>
    <x v="5"/>
    <n v="6900"/>
    <n v="3"/>
    <n v="10"/>
    <s v="No"/>
    <x v="1"/>
    <x v="1"/>
    <n v="0"/>
    <x v="1"/>
  </r>
  <r>
    <s v="E165"/>
    <n v="24"/>
    <x v="1"/>
    <x v="0"/>
    <x v="0"/>
    <n v="3000"/>
    <n v="1"/>
    <n v="1"/>
    <s v="Yes"/>
    <x v="0"/>
    <x v="0"/>
    <n v="1"/>
    <x v="0"/>
  </r>
  <r>
    <s v="E166"/>
    <n v="35"/>
    <x v="0"/>
    <x v="1"/>
    <x v="6"/>
    <n v="6500"/>
    <n v="4"/>
    <n v="7"/>
    <s v="No"/>
    <x v="1"/>
    <x v="1"/>
    <n v="0"/>
    <x v="1"/>
  </r>
  <r>
    <s v="E167"/>
    <n v="28"/>
    <x v="1"/>
    <x v="2"/>
    <x v="4"/>
    <n v="4200"/>
    <n v="3"/>
    <n v="3"/>
    <s v="No"/>
    <x v="2"/>
    <x v="1"/>
    <n v="0"/>
    <x v="2"/>
  </r>
  <r>
    <s v="E168"/>
    <n v="43"/>
    <x v="0"/>
    <x v="3"/>
    <x v="3"/>
    <n v="7500"/>
    <n v="4"/>
    <n v="12"/>
    <s v="No"/>
    <x v="1"/>
    <x v="2"/>
    <n v="0"/>
    <x v="3"/>
  </r>
  <r>
    <s v="E169"/>
    <n v="26"/>
    <x v="0"/>
    <x v="0"/>
    <x v="0"/>
    <n v="3300"/>
    <n v="2"/>
    <n v="2"/>
    <s v="Yes"/>
    <x v="2"/>
    <x v="0"/>
    <n v="1"/>
    <x v="2"/>
  </r>
  <r>
    <s v="E170"/>
    <n v="36"/>
    <x v="1"/>
    <x v="1"/>
    <x v="1"/>
    <n v="6200"/>
    <n v="3"/>
    <n v="7"/>
    <s v="No"/>
    <x v="1"/>
    <x v="1"/>
    <n v="0"/>
    <x v="1"/>
  </r>
  <r>
    <s v="E171"/>
    <n v="31"/>
    <x v="0"/>
    <x v="2"/>
    <x v="2"/>
    <n v="4500"/>
    <n v="3"/>
    <n v="5"/>
    <s v="No"/>
    <x v="2"/>
    <x v="1"/>
    <n v="0"/>
    <x v="2"/>
  </r>
  <r>
    <s v="E172"/>
    <n v="47"/>
    <x v="1"/>
    <x v="3"/>
    <x v="8"/>
    <n v="9100"/>
    <n v="4"/>
    <n v="15"/>
    <s v="No"/>
    <x v="3"/>
    <x v="2"/>
    <n v="0"/>
    <x v="3"/>
  </r>
  <r>
    <s v="E173"/>
    <n v="25"/>
    <x v="0"/>
    <x v="0"/>
    <x v="0"/>
    <n v="3100"/>
    <n v="2"/>
    <n v="1"/>
    <s v="Yes"/>
    <x v="2"/>
    <x v="0"/>
    <n v="1"/>
    <x v="0"/>
  </r>
  <r>
    <s v="E174"/>
    <n v="33"/>
    <x v="1"/>
    <x v="1"/>
    <x v="6"/>
    <n v="6000"/>
    <n v="4"/>
    <n v="6"/>
    <s v="No"/>
    <x v="2"/>
    <x v="1"/>
    <n v="0"/>
    <x v="1"/>
  </r>
  <r>
    <s v="E175"/>
    <n v="38"/>
    <x v="0"/>
    <x v="2"/>
    <x v="4"/>
    <n v="4900"/>
    <n v="4"/>
    <n v="8"/>
    <s v="No"/>
    <x v="1"/>
    <x v="1"/>
    <n v="0"/>
    <x v="1"/>
  </r>
  <r>
    <s v="E176"/>
    <n v="45"/>
    <x v="1"/>
    <x v="3"/>
    <x v="5"/>
    <n v="7000"/>
    <n v="3"/>
    <n v="13"/>
    <s v="No"/>
    <x v="3"/>
    <x v="2"/>
    <n v="0"/>
    <x v="3"/>
  </r>
  <r>
    <s v="E177"/>
    <n v="22"/>
    <x v="1"/>
    <x v="0"/>
    <x v="0"/>
    <n v="2900"/>
    <n v="1"/>
    <n v="1"/>
    <s v="Yes"/>
    <x v="0"/>
    <x v="0"/>
    <n v="1"/>
    <x v="0"/>
  </r>
  <r>
    <s v="E178"/>
    <n v="37"/>
    <x v="0"/>
    <x v="1"/>
    <x v="1"/>
    <n v="6400"/>
    <n v="3"/>
    <n v="8"/>
    <s v="No"/>
    <x v="1"/>
    <x v="1"/>
    <n v="0"/>
    <x v="1"/>
  </r>
  <r>
    <s v="E179"/>
    <n v="30"/>
    <x v="1"/>
    <x v="2"/>
    <x v="2"/>
    <n v="4400"/>
    <n v="3"/>
    <n v="4"/>
    <s v="No"/>
    <x v="2"/>
    <x v="1"/>
    <n v="0"/>
    <x v="2"/>
  </r>
  <r>
    <s v="E180"/>
    <n v="40"/>
    <x v="0"/>
    <x v="3"/>
    <x v="3"/>
    <n v="7400"/>
    <n v="4"/>
    <n v="10"/>
    <s v="No"/>
    <x v="1"/>
    <x v="2"/>
    <n v="0"/>
    <x v="1"/>
  </r>
  <r>
    <s v="E181"/>
    <n v="27"/>
    <x v="1"/>
    <x v="0"/>
    <x v="0"/>
    <n v="3500"/>
    <n v="2"/>
    <n v="2"/>
    <s v="Yes"/>
    <x v="2"/>
    <x v="0"/>
    <n v="1"/>
    <x v="2"/>
  </r>
  <r>
    <s v="E182"/>
    <n v="34"/>
    <x v="0"/>
    <x v="1"/>
    <x v="6"/>
    <n v="6100"/>
    <n v="4"/>
    <n v="6"/>
    <s v="No"/>
    <x v="2"/>
    <x v="1"/>
    <n v="0"/>
    <x v="1"/>
  </r>
  <r>
    <s v="E183"/>
    <n v="29"/>
    <x v="1"/>
    <x v="2"/>
    <x v="4"/>
    <n v="4300"/>
    <n v="3"/>
    <n v="4"/>
    <s v="No"/>
    <x v="2"/>
    <x v="1"/>
    <n v="0"/>
    <x v="2"/>
  </r>
  <r>
    <s v="E184"/>
    <n v="44"/>
    <x v="0"/>
    <x v="3"/>
    <x v="8"/>
    <n v="8800"/>
    <n v="4"/>
    <n v="12"/>
    <s v="No"/>
    <x v="1"/>
    <x v="2"/>
    <n v="0"/>
    <x v="3"/>
  </r>
  <r>
    <s v="E185"/>
    <n v="24"/>
    <x v="0"/>
    <x v="0"/>
    <x v="0"/>
    <n v="3000"/>
    <n v="1"/>
    <n v="1"/>
    <s v="Yes"/>
    <x v="0"/>
    <x v="0"/>
    <n v="1"/>
    <x v="0"/>
  </r>
  <r>
    <s v="E186"/>
    <n v="36"/>
    <x v="1"/>
    <x v="1"/>
    <x v="1"/>
    <n v="6300"/>
    <n v="3"/>
    <n v="7"/>
    <s v="No"/>
    <x v="1"/>
    <x v="1"/>
    <n v="0"/>
    <x v="1"/>
  </r>
  <r>
    <s v="E187"/>
    <n v="32"/>
    <x v="0"/>
    <x v="2"/>
    <x v="2"/>
    <n v="4600"/>
    <n v="4"/>
    <n v="5"/>
    <s v="No"/>
    <x v="2"/>
    <x v="1"/>
    <n v="0"/>
    <x v="2"/>
  </r>
  <r>
    <s v="E188"/>
    <n v="42"/>
    <x v="1"/>
    <x v="3"/>
    <x v="5"/>
    <n v="6900"/>
    <n v="3"/>
    <n v="11"/>
    <s v="No"/>
    <x v="1"/>
    <x v="1"/>
    <n v="0"/>
    <x v="3"/>
  </r>
  <r>
    <s v="E189"/>
    <n v="26"/>
    <x v="1"/>
    <x v="0"/>
    <x v="0"/>
    <n v="3300"/>
    <n v="2"/>
    <n v="2"/>
    <s v="Yes"/>
    <x v="2"/>
    <x v="0"/>
    <n v="1"/>
    <x v="2"/>
  </r>
  <r>
    <s v="E190"/>
    <n v="39"/>
    <x v="0"/>
    <x v="1"/>
    <x v="6"/>
    <n v="6500"/>
    <n v="4"/>
    <n v="9"/>
    <s v="No"/>
    <x v="1"/>
    <x v="1"/>
    <n v="0"/>
    <x v="1"/>
  </r>
  <r>
    <s v="E191"/>
    <n v="31"/>
    <x v="1"/>
    <x v="2"/>
    <x v="4"/>
    <n v="4700"/>
    <n v="3"/>
    <n v="5"/>
    <s v="No"/>
    <x v="2"/>
    <x v="1"/>
    <n v="0"/>
    <x v="2"/>
  </r>
  <r>
    <s v="E192"/>
    <n v="46"/>
    <x v="0"/>
    <x v="3"/>
    <x v="3"/>
    <n v="7700"/>
    <n v="4"/>
    <n v="14"/>
    <s v="No"/>
    <x v="3"/>
    <x v="2"/>
    <n v="0"/>
    <x v="3"/>
  </r>
  <r>
    <s v="E193"/>
    <n v="23"/>
    <x v="1"/>
    <x v="0"/>
    <x v="0"/>
    <n v="2900"/>
    <n v="1"/>
    <n v="1"/>
    <s v="Yes"/>
    <x v="0"/>
    <x v="0"/>
    <n v="1"/>
    <x v="0"/>
  </r>
  <r>
    <s v="E194"/>
    <n v="35"/>
    <x v="0"/>
    <x v="1"/>
    <x v="1"/>
    <n v="6200"/>
    <n v="4"/>
    <n v="7"/>
    <s v="No"/>
    <x v="1"/>
    <x v="1"/>
    <n v="0"/>
    <x v="1"/>
  </r>
  <r>
    <s v="E195"/>
    <n v="28"/>
    <x v="1"/>
    <x v="2"/>
    <x v="2"/>
    <n v="4300"/>
    <n v="3"/>
    <n v="3"/>
    <s v="No"/>
    <x v="2"/>
    <x v="1"/>
    <n v="0"/>
    <x v="2"/>
  </r>
  <r>
    <s v="E196"/>
    <n v="41"/>
    <x v="0"/>
    <x v="3"/>
    <x v="5"/>
    <n v="7000"/>
    <n v="4"/>
    <n v="10"/>
    <s v="No"/>
    <x v="1"/>
    <x v="2"/>
    <n v="0"/>
    <x v="1"/>
  </r>
  <r>
    <s v="E197"/>
    <n v="25"/>
    <x v="0"/>
    <x v="0"/>
    <x v="0"/>
    <n v="3100"/>
    <n v="2"/>
    <n v="1"/>
    <s v="Yes"/>
    <x v="2"/>
    <x v="0"/>
    <n v="1"/>
    <x v="0"/>
  </r>
  <r>
    <s v="E198"/>
    <n v="37"/>
    <x v="1"/>
    <x v="1"/>
    <x v="6"/>
    <n v="6400"/>
    <n v="3"/>
    <n v="8"/>
    <s v="No"/>
    <x v="1"/>
    <x v="1"/>
    <n v="0"/>
    <x v="1"/>
  </r>
  <r>
    <s v="E199"/>
    <n v="30"/>
    <x v="0"/>
    <x v="2"/>
    <x v="4"/>
    <n v="4500"/>
    <n v="4"/>
    <n v="4"/>
    <s v="No"/>
    <x v="2"/>
    <x v="1"/>
    <n v="0"/>
    <x v="2"/>
  </r>
  <r>
    <s v="E200"/>
    <n v="48"/>
    <x v="1"/>
    <x v="3"/>
    <x v="8"/>
    <n v="9400"/>
    <n v="4"/>
    <n v="16"/>
    <s v="No"/>
    <x v="3"/>
    <x v="2"/>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5A919F-BDF3-40FE-9AC1-D31357979E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pivotField showAll="0">
      <items count="3">
        <item x="0"/>
        <item x="1"/>
        <item t="default"/>
      </items>
    </pivotField>
    <pivotField axis="axisRow" showAll="0">
      <items count="5">
        <item x="3"/>
        <item x="2"/>
        <item x="1"/>
        <item x="0"/>
        <item t="default"/>
      </items>
    </pivotField>
    <pivotField showAll="0">
      <items count="10">
        <item x="5"/>
        <item x="6"/>
        <item x="1"/>
        <item x="8"/>
        <item x="3"/>
        <item x="2"/>
        <item x="7"/>
        <item x="4"/>
        <item x="0"/>
        <item t="default"/>
      </items>
    </pivotField>
    <pivotField showAll="0"/>
    <pivotField showAll="0"/>
    <pivotField showAll="0"/>
    <pivotField showAll="0"/>
    <pivotField showAll="0">
      <items count="5">
        <item x="2"/>
        <item x="1"/>
        <item x="3"/>
        <item x="0"/>
        <item t="default"/>
      </items>
    </pivotField>
    <pivotField showAll="0">
      <items count="4">
        <item x="2"/>
        <item x="0"/>
        <item x="1"/>
        <item t="default"/>
      </items>
    </pivotField>
    <pivotField dataField="1" showAll="0"/>
    <pivotField showAll="0">
      <items count="5">
        <item x="0"/>
        <item x="3"/>
        <item x="2"/>
        <item x="1"/>
        <item t="default"/>
      </items>
    </pivotField>
  </pivotFields>
  <rowFields count="1">
    <field x="3"/>
  </rowFields>
  <rowItems count="5">
    <i>
      <x/>
    </i>
    <i>
      <x v="1"/>
    </i>
    <i>
      <x v="2"/>
    </i>
    <i>
      <x v="3"/>
    </i>
    <i t="grand">
      <x/>
    </i>
  </rowItems>
  <colItems count="1">
    <i/>
  </colItems>
  <dataFields count="1">
    <dataField name="Average of Attrition Flag" fld="11" subtotal="average" baseField="3" baseItem="0" numFmtId="9"/>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C3154-150E-49DF-AC63-BD3DAD31A5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showAll="0"/>
    <pivotField showAll="0"/>
    <pivotField showAll="0">
      <items count="3">
        <item x="0"/>
        <item x="1"/>
        <item t="default"/>
      </items>
    </pivotField>
    <pivotField showAll="0"/>
    <pivotField showAll="0">
      <items count="10">
        <item x="5"/>
        <item x="6"/>
        <item x="1"/>
        <item x="8"/>
        <item x="3"/>
        <item x="2"/>
        <item x="7"/>
        <item x="4"/>
        <item x="0"/>
        <item t="default"/>
      </items>
    </pivotField>
    <pivotField showAll="0"/>
    <pivotField showAll="0"/>
    <pivotField showAll="0"/>
    <pivotField showAll="0"/>
    <pivotField axis="axisRow" showAll="0">
      <items count="5">
        <item x="2"/>
        <item x="1"/>
        <item x="3"/>
        <item x="0"/>
        <item t="default"/>
      </items>
    </pivotField>
    <pivotField showAll="0">
      <items count="4">
        <item x="2"/>
        <item x="0"/>
        <item x="1"/>
        <item t="default"/>
      </items>
    </pivotField>
    <pivotField dataField="1" showAll="0"/>
    <pivotField showAll="0">
      <items count="5">
        <item x="0"/>
        <item x="3"/>
        <item x="2"/>
        <item x="1"/>
        <item t="default"/>
      </items>
    </pivotField>
  </pivotFields>
  <rowFields count="1">
    <field x="9"/>
  </rowFields>
  <rowItems count="5">
    <i>
      <x/>
    </i>
    <i>
      <x v="1"/>
    </i>
    <i>
      <x v="2"/>
    </i>
    <i>
      <x v="3"/>
    </i>
    <i t="grand">
      <x/>
    </i>
  </rowItems>
  <colItems count="1">
    <i/>
  </colItems>
  <dataFields count="1">
    <dataField name="Average of Attrition Flag" fld="11" subtotal="average" baseField="9" baseItem="0" numFmtId="9"/>
  </dataFields>
  <formats count="1">
    <format dxfId="8">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A10C3-92D4-403E-844A-02B0330D9F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pivotField showAll="0"/>
    <pivotField showAll="0">
      <items count="3">
        <item x="0"/>
        <item x="1"/>
        <item t="default"/>
      </items>
    </pivotField>
    <pivotField showAll="0"/>
    <pivotField showAll="0">
      <items count="10">
        <item x="5"/>
        <item x="6"/>
        <item x="1"/>
        <item x="8"/>
        <item x="3"/>
        <item x="2"/>
        <item x="7"/>
        <item x="4"/>
        <item x="0"/>
        <item t="default"/>
      </items>
    </pivotField>
    <pivotField showAll="0"/>
    <pivotField showAll="0"/>
    <pivotField showAll="0"/>
    <pivotField showAll="0"/>
    <pivotField showAll="0">
      <items count="5">
        <item x="2"/>
        <item x="1"/>
        <item x="3"/>
        <item x="0"/>
        <item t="default"/>
      </items>
    </pivotField>
    <pivotField axis="axisRow" showAll="0">
      <items count="4">
        <item x="2"/>
        <item x="0"/>
        <item x="1"/>
        <item t="default"/>
      </items>
    </pivotField>
    <pivotField dataField="1" showAll="0"/>
    <pivotField showAll="0">
      <items count="5">
        <item x="0"/>
        <item x="3"/>
        <item x="2"/>
        <item x="1"/>
        <item t="default"/>
      </items>
    </pivotField>
  </pivotFields>
  <rowFields count="1">
    <field x="10"/>
  </rowFields>
  <rowItems count="4">
    <i>
      <x/>
    </i>
    <i>
      <x v="1"/>
    </i>
    <i>
      <x v="2"/>
    </i>
    <i t="grand">
      <x/>
    </i>
  </rowItems>
  <colItems count="1">
    <i/>
  </colItems>
  <dataFields count="1">
    <dataField name="Average of Attrition Flag" fld="11" subtotal="average" baseField="10" baseItem="0" numFmtId="9"/>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99BC2-E6BD-4E26-80AC-EF05253296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showAll="0"/>
    <pivotField showAll="0">
      <items count="3">
        <item x="0"/>
        <item x="1"/>
        <item t="default"/>
      </items>
    </pivotField>
    <pivotField showAll="0"/>
    <pivotField showAll="0">
      <items count="10">
        <item x="5"/>
        <item x="6"/>
        <item x="1"/>
        <item x="8"/>
        <item x="3"/>
        <item x="2"/>
        <item x="7"/>
        <item x="4"/>
        <item x="0"/>
        <item t="default"/>
      </items>
    </pivotField>
    <pivotField showAll="0"/>
    <pivotField showAll="0"/>
    <pivotField showAll="0"/>
    <pivotField showAll="0"/>
    <pivotField showAll="0">
      <items count="5">
        <item x="2"/>
        <item x="1"/>
        <item x="3"/>
        <item x="0"/>
        <item t="default"/>
      </items>
    </pivotField>
    <pivotField showAll="0">
      <items count="4">
        <item x="2"/>
        <item x="0"/>
        <item x="1"/>
        <item t="default"/>
      </items>
    </pivotField>
    <pivotField dataField="1" showAll="0"/>
    <pivotField axis="axisRow" showAll="0">
      <items count="5">
        <item x="0"/>
        <item x="3"/>
        <item x="2"/>
        <item x="1"/>
        <item t="default"/>
      </items>
    </pivotField>
  </pivotFields>
  <rowFields count="1">
    <field x="12"/>
  </rowFields>
  <rowItems count="5">
    <i>
      <x/>
    </i>
    <i>
      <x v="1"/>
    </i>
    <i>
      <x v="2"/>
    </i>
    <i>
      <x v="3"/>
    </i>
    <i t="grand">
      <x/>
    </i>
  </rowItems>
  <colItems count="1">
    <i/>
  </colItems>
  <dataFields count="1">
    <dataField name="Average of Attrition Flag" fld="11" subtotal="average" baseField="12" baseItem="0" numFmtId="9"/>
  </dataFields>
  <formats count="1">
    <format dxfId="6">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C944CE-468B-44BA-96F7-46C75BB242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3">
    <pivotField showAll="0"/>
    <pivotField showAll="0"/>
    <pivotField showAll="0">
      <items count="3">
        <item x="0"/>
        <item x="1"/>
        <item t="default"/>
      </items>
    </pivotField>
    <pivotField showAll="0"/>
    <pivotField axis="axisRow" showAll="0">
      <items count="10">
        <item x="5"/>
        <item x="6"/>
        <item x="1"/>
        <item x="8"/>
        <item x="3"/>
        <item x="2"/>
        <item x="7"/>
        <item x="4"/>
        <item x="0"/>
        <item t="default"/>
      </items>
    </pivotField>
    <pivotField showAll="0"/>
    <pivotField showAll="0"/>
    <pivotField showAll="0"/>
    <pivotField showAll="0"/>
    <pivotField showAll="0">
      <items count="5">
        <item x="2"/>
        <item x="1"/>
        <item x="3"/>
        <item x="0"/>
        <item t="default"/>
      </items>
    </pivotField>
    <pivotField showAll="0">
      <items count="4">
        <item x="2"/>
        <item x="0"/>
        <item x="1"/>
        <item t="default"/>
      </items>
    </pivotField>
    <pivotField dataField="1" showAll="0"/>
    <pivotField showAll="0">
      <items count="5">
        <item x="0"/>
        <item x="3"/>
        <item x="2"/>
        <item x="1"/>
        <item t="default"/>
      </items>
    </pivotField>
  </pivotFields>
  <rowFields count="1">
    <field x="4"/>
  </rowFields>
  <rowItems count="10">
    <i>
      <x/>
    </i>
    <i>
      <x v="1"/>
    </i>
    <i>
      <x v="2"/>
    </i>
    <i>
      <x v="3"/>
    </i>
    <i>
      <x v="4"/>
    </i>
    <i>
      <x v="5"/>
    </i>
    <i>
      <x v="6"/>
    </i>
    <i>
      <x v="7"/>
    </i>
    <i>
      <x v="8"/>
    </i>
    <i t="grand">
      <x/>
    </i>
  </rowItems>
  <colItems count="1">
    <i/>
  </colItems>
  <dataFields count="1">
    <dataField name="Average of Attrition Flag" fld="11" subtotal="average" baseField="4" baseItem="7" numFmtId="9"/>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5C4B3E-2A61-4D54-B332-FC801E1BB5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dataField="1" showAll="0"/>
    <pivotField showAll="0"/>
    <pivotField showAll="0">
      <items count="3">
        <item x="0"/>
        <item x="1"/>
        <item t="default"/>
      </items>
    </pivotField>
    <pivotField axis="axisRow" showAll="0">
      <items count="5">
        <item x="3"/>
        <item x="2"/>
        <item x="1"/>
        <item x="0"/>
        <item t="default"/>
      </items>
    </pivotField>
    <pivotField showAll="0">
      <items count="10">
        <item x="5"/>
        <item x="6"/>
        <item x="1"/>
        <item x="8"/>
        <item x="3"/>
        <item x="2"/>
        <item x="7"/>
        <item x="4"/>
        <item x="0"/>
        <item t="default"/>
      </items>
    </pivotField>
    <pivotField showAll="0"/>
    <pivotField showAll="0"/>
    <pivotField showAll="0"/>
    <pivotField showAll="0"/>
    <pivotField showAll="0">
      <items count="5">
        <item x="2"/>
        <item x="1"/>
        <item x="3"/>
        <item x="0"/>
        <item t="default"/>
      </items>
    </pivotField>
    <pivotField showAll="0">
      <items count="4">
        <item x="2"/>
        <item x="0"/>
        <item x="1"/>
        <item t="default"/>
      </items>
    </pivotField>
    <pivotField showAll="0"/>
    <pivotField showAll="0">
      <items count="5">
        <item x="0"/>
        <item x="3"/>
        <item x="2"/>
        <item x="1"/>
        <item t="default"/>
      </items>
    </pivotField>
  </pivotFields>
  <rowFields count="1">
    <field x="3"/>
  </rowFields>
  <rowItems count="5">
    <i>
      <x/>
    </i>
    <i>
      <x v="1"/>
    </i>
    <i>
      <x v="2"/>
    </i>
    <i>
      <x v="3"/>
    </i>
    <i t="grand">
      <x/>
    </i>
  </rowItems>
  <colItems count="1">
    <i/>
  </colItems>
  <dataFields count="1">
    <dataField name="Count of Employe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DD5568-BE61-4FDF-9528-7E9330716119}" sourceName="Gender">
  <pivotTables>
    <pivotTable tabId="5" name="PivotTable2"/>
    <pivotTable tabId="9" name="PivotTable6"/>
    <pivotTable tabId="4" name="PivotTable1"/>
    <pivotTable tabId="8" name="PivotTable5"/>
    <pivotTable tabId="6" name="PivotTable3"/>
    <pivotTable tabId="7" name="PivotTable4"/>
  </pivotTables>
  <data>
    <tabular pivotCacheId="14787816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31BF9553-43D9-4C51-AE6E-30782933501E}" sourceName="Job_Role">
  <pivotTables>
    <pivotTable tabId="5" name="PivotTable2"/>
    <pivotTable tabId="9" name="PivotTable6"/>
    <pivotTable tabId="4" name="PivotTable1"/>
    <pivotTable tabId="8" name="PivotTable5"/>
    <pivotTable tabId="6" name="PivotTable3"/>
    <pivotTable tabId="7" name="PivotTable4"/>
  </pivotTables>
  <data>
    <tabular pivotCacheId="1478781628">
      <items count="9">
        <i x="5" s="1"/>
        <i x="6" s="1"/>
        <i x="1" s="1"/>
        <i x="8" s="1"/>
        <i x="3" s="1"/>
        <i x="2" s="1"/>
        <i x="7"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C151C81-92A2-4463-914E-9D32E75D8B6D}" sourceName="Age Group">
  <pivotTables>
    <pivotTable tabId="5" name="PivotTable2"/>
    <pivotTable tabId="9" name="PivotTable6"/>
    <pivotTable tabId="4" name="PivotTable1"/>
    <pivotTable tabId="8" name="PivotTable5"/>
    <pivotTable tabId="6" name="PivotTable3"/>
    <pivotTable tabId="7" name="PivotTable4"/>
  </pivotTables>
  <data>
    <tabular pivotCacheId="1478781628">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2264B8AA-501D-4FD4-B17F-3D2A8089249C}" sourceName="Salary Band">
  <pivotTables>
    <pivotTable tabId="5" name="PivotTable2"/>
    <pivotTable tabId="9" name="PivotTable6"/>
    <pivotTable tabId="4" name="PivotTable1"/>
    <pivotTable tabId="8" name="PivotTable5"/>
    <pivotTable tabId="6" name="PivotTable3"/>
    <pivotTable tabId="7" name="PivotTable4"/>
  </pivotTables>
  <data>
    <tabular pivotCacheId="147878162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360DF1E0-896A-44D8-9593-87A1802A5EFB}" sourceName="Tenure Group">
  <pivotTables>
    <pivotTable tabId="5" name="PivotTable2"/>
    <pivotTable tabId="9" name="PivotTable6"/>
    <pivotTable tabId="4" name="PivotTable1"/>
    <pivotTable tabId="8" name="PivotTable5"/>
    <pivotTable tabId="6" name="PivotTable3"/>
    <pivotTable tabId="7" name="PivotTable4"/>
  </pivotTables>
  <data>
    <tabular pivotCacheId="147878162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B95565B-F22A-4324-8D72-A34DCF91BB77}" cache="Slicer_Gender" caption="Gender" columnCount="2" rowHeight="241300"/>
  <slicer name="Job_Role" xr10:uid="{73E82E6C-EB92-44D1-B6D3-75EEE418A6E0}" cache="Slicer_Job_Role" caption="Job_Role" columnCount="2" rowHeight="241300"/>
  <slicer name="Age Group" xr10:uid="{6B09E20D-9FDB-46CE-9488-1619D088DD11}" cache="Slicer_Age_Group" caption="Age Group" columnCount="2" rowHeight="241300"/>
  <slicer name="Salary Band" xr10:uid="{19F30BEF-2E09-4F37-8EAB-528B85A641B3}" cache="Slicer_Salary_Band" caption="Salary Band" columnCount="3" rowHeight="241300"/>
  <slicer name="Tenure Group" xr10:uid="{6323A3C6-60E6-4902-9BF2-940847B6ADE1}" cache="Slicer_Tenure_Group" caption="Tenure Group"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22E25F-18C3-488B-B06B-EE877CC15014}" name="Table24" displayName="Table24" ref="P20:T21" totalsRowShown="0">
  <autoFilter ref="P20:T21" xr:uid="{7722E25F-18C3-488B-B06B-EE877CC15014}"/>
  <tableColumns count="5">
    <tableColumn id="1" xr3:uid="{E8E3DDE4-0E7F-4D10-AB0A-6BBCA0D850C4}" name="Total Employees">
      <calculatedColumnFormula>COUNTA(Table1[Employee_ID])</calculatedColumnFormula>
    </tableColumn>
    <tableColumn id="2" xr3:uid="{8081B01C-09CA-4194-8E51-D52B4248B7AA}" name="Employees Left">
      <calculatedColumnFormula>COUNTIF(Table1[Attrition],"yes")</calculatedColumnFormula>
    </tableColumn>
    <tableColumn id="3" xr3:uid="{C88CF3CF-5FFF-41D3-BB5B-448B9C58068B}" name="Attrition Rate" dataDxfId="10" dataCellStyle="Percent">
      <calculatedColumnFormula>AVERAGE(Table1[Attrition Flag])</calculatedColumnFormula>
    </tableColumn>
    <tableColumn id="4" xr3:uid="{B4CBA436-C681-465F-9958-4A681A6DA0EC}" name="Average salary">
      <calculatedColumnFormula>AVERAGE(Table1[Monthly_Income])</calculatedColumnFormula>
    </tableColumn>
    <tableColumn id="5" xr3:uid="{0E88744B-CE3B-445A-9142-CEBF0BF54B66}" name="Average Age">
      <calculatedColumnFormula>AVERAGE(Table1[Age])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4D70-319D-47C4-A12A-4174B9D788C9}" name="Table1" displayName="Table1" ref="A1:M201" totalsRowShown="0">
  <autoFilter ref="A1:M201" xr:uid="{CFCB4D70-319D-47C4-A12A-4174B9D788C9}"/>
  <tableColumns count="13">
    <tableColumn id="1" xr3:uid="{6633D402-77F3-4886-915C-6435AD3416C4}" name="Employee_ID"/>
    <tableColumn id="2" xr3:uid="{9A0EF879-F00A-4E06-8D84-D77451C0872D}" name="Age"/>
    <tableColumn id="3" xr3:uid="{7CFA0E32-A626-4E16-B781-93E5AC9948BA}" name="Gender"/>
    <tableColumn id="4" xr3:uid="{0504FAB7-6B6A-4A14-B47C-2D49FEBEBF5B}" name="Department"/>
    <tableColumn id="5" xr3:uid="{E350928C-30F2-4CCE-A878-F342A03C2012}" name="Job_Role"/>
    <tableColumn id="6" xr3:uid="{30EE1685-E612-4C6E-9104-E3DFB87DAA63}" name="Monthly_Income"/>
    <tableColumn id="7" xr3:uid="{84FF6077-864E-4F5D-964D-D79DCF676CCA}" name="Job_Satisfaction"/>
    <tableColumn id="8" xr3:uid="{22C94674-28F3-4B1C-ADD2-31D3FCB1CF82}" name="Years_at_Company"/>
    <tableColumn id="9" xr3:uid="{3C8385BB-1BE5-47B2-B696-07482C0097A6}" name="Attrition"/>
    <tableColumn id="10" xr3:uid="{00767AFD-EA85-4D66-BEE7-BE6D125213D7}" name="Age Group" dataDxfId="4">
      <calculatedColumnFormula>IF(Table1[[#This Row],[Age]]&lt;25,"Below 25",IF(Table1[[#This Row],[Age]]&lt;35,"25-34",IF(Table1[[#This Row],[Age]]&lt;45,"35-44","45+")))</calculatedColumnFormula>
    </tableColumn>
    <tableColumn id="11" xr3:uid="{C1C91BB8-BB98-4CC5-B1A0-8CF5ADE2ED9A}" name="Salary Band" dataDxfId="3">
      <calculatedColumnFormula>IF(Table1[[#This Row],[Monthly_Income]]&lt;4000,"Low",IF(Table1[[#This Row],[Monthly_Income]]&lt;7000,"Medium","High"))</calculatedColumnFormula>
    </tableColumn>
    <tableColumn id="12" xr3:uid="{9F7466B6-F0DB-4966-8E67-26D7027DD57B}" name="Attrition Flag" dataDxfId="2">
      <calculatedColumnFormula>IF(Table1[[#This Row],[Attrition]]="Yes",1,0)</calculatedColumnFormula>
    </tableColumn>
    <tableColumn id="13" xr3:uid="{BC9917A9-C51B-4751-8268-5C17A0ABBD2E}" name="Tenure Group" dataDxfId="1">
      <calculatedColumnFormula>IF(Table1[[#This Row],[Years_at_Company]]&lt;2,"0-2 Years",IF(Table1[[#This Row],[Years_at_Company]]&lt;=5,"3-5 Years",IF(Table1[[#This Row],[Years_at_Company]]&lt;=10,"6-10 Years","10+ Years")))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07036-F30D-4426-9E44-6F13F1F67DDB}" name="Table2" displayName="Table2" ref="B4:F5" totalsRowShown="0">
  <autoFilter ref="B4:F5" xr:uid="{1EB07036-F30D-4426-9E44-6F13F1F67DDB}"/>
  <tableColumns count="5">
    <tableColumn id="1" xr3:uid="{856DFD3B-66B1-4935-B873-42D90CC4342C}" name="Total Employees">
      <calculatedColumnFormula>COUNTA(Table1[Employee_ID])</calculatedColumnFormula>
    </tableColumn>
    <tableColumn id="2" xr3:uid="{D29CF530-713A-4B22-AF0D-43A5F32CF603}" name="Employees Left">
      <calculatedColumnFormula>COUNTIF(Table1[Attrition],"yes")</calculatedColumnFormula>
    </tableColumn>
    <tableColumn id="3" xr3:uid="{73929D70-45A5-4DB5-B4E3-6F25E8243CBC}" name="Attrition Rate" dataDxfId="0" dataCellStyle="Percent">
      <calculatedColumnFormula>AVERAGE(Table1[Attrition Flag])</calculatedColumnFormula>
    </tableColumn>
    <tableColumn id="4" xr3:uid="{355FF3C1-3E99-453F-B2D9-E275D65F9CE2}" name="Average salary">
      <calculatedColumnFormula>AVERAGE(Table1[Monthly_Income])</calculatedColumnFormula>
    </tableColumn>
    <tableColumn id="5" xr3:uid="{C3099B6F-0980-4D1D-8299-C1500CF606A0}" name="Average Age">
      <calculatedColumnFormula>AVERAGE(Table1[Age])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6FB0-7F03-4954-8822-29486B0C9169}">
  <dimension ref="A3:B8"/>
  <sheetViews>
    <sheetView workbookViewId="0">
      <selection activeCell="B4" sqref="B4"/>
    </sheetView>
  </sheetViews>
  <sheetFormatPr defaultRowHeight="14.4" x14ac:dyDescent="0.3"/>
  <cols>
    <col min="1" max="1" width="12.33203125" bestFit="1" customWidth="1"/>
    <col min="2" max="2" width="21.33203125" bestFit="1" customWidth="1"/>
  </cols>
  <sheetData>
    <row r="3" spans="1:2" x14ac:dyDescent="0.3">
      <c r="A3" s="2" t="s">
        <v>235</v>
      </c>
      <c r="B3" t="s">
        <v>237</v>
      </c>
    </row>
    <row r="4" spans="1:2" x14ac:dyDescent="0.3">
      <c r="A4" s="3" t="s">
        <v>2</v>
      </c>
      <c r="B4" s="4">
        <v>0</v>
      </c>
    </row>
    <row r="5" spans="1:2" x14ac:dyDescent="0.3">
      <c r="A5" s="3" t="s">
        <v>6</v>
      </c>
      <c r="B5" s="4">
        <v>0.06</v>
      </c>
    </row>
    <row r="6" spans="1:2" x14ac:dyDescent="0.3">
      <c r="A6" s="3" t="s">
        <v>10</v>
      </c>
      <c r="B6" s="4">
        <v>0</v>
      </c>
    </row>
    <row r="7" spans="1:2" x14ac:dyDescent="0.3">
      <c r="A7" s="3" t="s">
        <v>14</v>
      </c>
      <c r="B7" s="4">
        <v>0.94</v>
      </c>
    </row>
    <row r="8" spans="1:2" x14ac:dyDescent="0.3">
      <c r="A8" s="3" t="s">
        <v>236</v>
      </c>
      <c r="B8" s="4">
        <v>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D38F-1EF2-489F-B902-9D36FCA34B38}">
  <dimension ref="A3:B8"/>
  <sheetViews>
    <sheetView workbookViewId="0">
      <selection activeCell="B7" sqref="B7"/>
    </sheetView>
  </sheetViews>
  <sheetFormatPr defaultRowHeight="14.4" x14ac:dyDescent="0.3"/>
  <cols>
    <col min="1" max="1" width="12.33203125" bestFit="1" customWidth="1"/>
    <col min="2" max="2" width="21.33203125" bestFit="1" customWidth="1"/>
  </cols>
  <sheetData>
    <row r="3" spans="1:2" x14ac:dyDescent="0.3">
      <c r="A3" s="2" t="s">
        <v>235</v>
      </c>
      <c r="B3" t="s">
        <v>237</v>
      </c>
    </row>
    <row r="4" spans="1:2" x14ac:dyDescent="0.3">
      <c r="A4" s="3" t="s">
        <v>238</v>
      </c>
      <c r="B4" s="4">
        <v>0.33333333333333331</v>
      </c>
    </row>
    <row r="5" spans="1:2" x14ac:dyDescent="0.3">
      <c r="A5" s="3" t="s">
        <v>239</v>
      </c>
      <c r="B5" s="4">
        <v>0</v>
      </c>
    </row>
    <row r="6" spans="1:2" x14ac:dyDescent="0.3">
      <c r="A6" s="3" t="s">
        <v>240</v>
      </c>
      <c r="B6" s="4">
        <v>0</v>
      </c>
    </row>
    <row r="7" spans="1:2" x14ac:dyDescent="0.3">
      <c r="A7" s="3" t="s">
        <v>241</v>
      </c>
      <c r="B7" s="4">
        <v>1</v>
      </c>
    </row>
    <row r="8" spans="1:2" x14ac:dyDescent="0.3">
      <c r="A8" s="3" t="s">
        <v>236</v>
      </c>
      <c r="B8" s="4">
        <v>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E11A-1BD4-4DE9-B21C-4FF60545E98C}">
  <dimension ref="A3:B7"/>
  <sheetViews>
    <sheetView workbookViewId="0">
      <selection activeCell="J8" sqref="J8"/>
    </sheetView>
  </sheetViews>
  <sheetFormatPr defaultRowHeight="14.4" x14ac:dyDescent="0.3"/>
  <cols>
    <col min="1" max="1" width="12.33203125" bestFit="1" customWidth="1"/>
    <col min="2" max="2" width="21.33203125" bestFit="1" customWidth="1"/>
  </cols>
  <sheetData>
    <row r="3" spans="1:2" x14ac:dyDescent="0.3">
      <c r="A3" s="2" t="s">
        <v>235</v>
      </c>
      <c r="B3" t="s">
        <v>237</v>
      </c>
    </row>
    <row r="4" spans="1:2" x14ac:dyDescent="0.3">
      <c r="A4" s="3" t="s">
        <v>242</v>
      </c>
      <c r="B4" s="4">
        <v>0</v>
      </c>
    </row>
    <row r="5" spans="1:2" x14ac:dyDescent="0.3">
      <c r="A5" s="3" t="s">
        <v>243</v>
      </c>
      <c r="B5" s="4">
        <v>0.94339622641509435</v>
      </c>
    </row>
    <row r="6" spans="1:2" x14ac:dyDescent="0.3">
      <c r="A6" s="3" t="s">
        <v>244</v>
      </c>
      <c r="B6" s="4">
        <v>0</v>
      </c>
    </row>
    <row r="7" spans="1:2" x14ac:dyDescent="0.3">
      <c r="A7" s="3" t="s">
        <v>236</v>
      </c>
      <c r="B7" s="4">
        <v>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6F32-BE09-45D1-BA1C-96FC7E28835E}">
  <dimension ref="A3:B8"/>
  <sheetViews>
    <sheetView workbookViewId="0">
      <selection activeCell="B5" sqref="B5"/>
    </sheetView>
  </sheetViews>
  <sheetFormatPr defaultRowHeight="14.4" x14ac:dyDescent="0.3"/>
  <cols>
    <col min="1" max="1" width="12.33203125" bestFit="1" customWidth="1"/>
    <col min="2" max="2" width="21.33203125" bestFit="1" customWidth="1"/>
  </cols>
  <sheetData>
    <row r="3" spans="1:2" x14ac:dyDescent="0.3">
      <c r="A3" s="2" t="s">
        <v>235</v>
      </c>
      <c r="B3" t="s">
        <v>237</v>
      </c>
    </row>
    <row r="4" spans="1:2" x14ac:dyDescent="0.3">
      <c r="A4" s="3" t="s">
        <v>245</v>
      </c>
      <c r="B4" s="4">
        <v>1</v>
      </c>
    </row>
    <row r="5" spans="1:2" x14ac:dyDescent="0.3">
      <c r="A5" s="3" t="s">
        <v>246</v>
      </c>
      <c r="B5" s="4">
        <v>0</v>
      </c>
    </row>
    <row r="6" spans="1:2" x14ac:dyDescent="0.3">
      <c r="A6" s="3" t="s">
        <v>247</v>
      </c>
      <c r="B6" s="4">
        <v>0.33333333333333331</v>
      </c>
    </row>
    <row r="7" spans="1:2" x14ac:dyDescent="0.3">
      <c r="A7" s="3" t="s">
        <v>248</v>
      </c>
      <c r="B7" s="4">
        <v>0</v>
      </c>
    </row>
    <row r="8" spans="1:2" x14ac:dyDescent="0.3">
      <c r="A8" s="3" t="s">
        <v>236</v>
      </c>
      <c r="B8" s="4">
        <v>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35E1F-2696-4E28-9CC5-A5E928AA0686}">
  <dimension ref="A3:B13"/>
  <sheetViews>
    <sheetView workbookViewId="0">
      <selection activeCell="B6" sqref="B6"/>
    </sheetView>
  </sheetViews>
  <sheetFormatPr defaultRowHeight="14.4" x14ac:dyDescent="0.3"/>
  <cols>
    <col min="1" max="1" width="15.21875" bestFit="1" customWidth="1"/>
    <col min="2" max="2" width="21.33203125" bestFit="1" customWidth="1"/>
  </cols>
  <sheetData>
    <row r="3" spans="1:2" x14ac:dyDescent="0.3">
      <c r="A3" s="2" t="s">
        <v>235</v>
      </c>
      <c r="B3" t="s">
        <v>237</v>
      </c>
    </row>
    <row r="4" spans="1:2" x14ac:dyDescent="0.3">
      <c r="A4" s="3" t="s">
        <v>16</v>
      </c>
      <c r="B4" s="4">
        <v>0</v>
      </c>
    </row>
    <row r="5" spans="1:2" x14ac:dyDescent="0.3">
      <c r="A5" s="3" t="s">
        <v>9</v>
      </c>
      <c r="B5" s="4">
        <v>0</v>
      </c>
    </row>
    <row r="6" spans="1:2" x14ac:dyDescent="0.3">
      <c r="A6" s="3" t="s">
        <v>20</v>
      </c>
      <c r="B6" s="4">
        <v>0</v>
      </c>
    </row>
    <row r="7" spans="1:2" x14ac:dyDescent="0.3">
      <c r="A7" s="3" t="s">
        <v>1</v>
      </c>
      <c r="B7" s="4">
        <v>0</v>
      </c>
    </row>
    <row r="8" spans="1:2" x14ac:dyDescent="0.3">
      <c r="A8" s="3" t="s">
        <v>23</v>
      </c>
      <c r="B8" s="4">
        <v>0</v>
      </c>
    </row>
    <row r="9" spans="1:2" x14ac:dyDescent="0.3">
      <c r="A9" s="3" t="s">
        <v>18</v>
      </c>
      <c r="B9" s="4">
        <v>0</v>
      </c>
    </row>
    <row r="10" spans="1:2" x14ac:dyDescent="0.3">
      <c r="A10" s="3" t="s">
        <v>197</v>
      </c>
      <c r="B10" s="4">
        <v>0</v>
      </c>
    </row>
    <row r="11" spans="1:2" x14ac:dyDescent="0.3">
      <c r="A11" s="3" t="s">
        <v>5</v>
      </c>
      <c r="B11" s="4">
        <v>0.11538461538461539</v>
      </c>
    </row>
    <row r="12" spans="1:2" x14ac:dyDescent="0.3">
      <c r="A12" s="3" t="s">
        <v>13</v>
      </c>
      <c r="B12" s="4">
        <v>0.94</v>
      </c>
    </row>
    <row r="13" spans="1:2" x14ac:dyDescent="0.3">
      <c r="A13" s="3" t="s">
        <v>236</v>
      </c>
      <c r="B13" s="4">
        <v>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605C-B1A2-4287-A200-72165910FDF2}">
  <dimension ref="A3:B8"/>
  <sheetViews>
    <sheetView workbookViewId="0">
      <selection activeCell="J5" sqref="J5"/>
    </sheetView>
  </sheetViews>
  <sheetFormatPr defaultRowHeight="14.4" x14ac:dyDescent="0.3"/>
  <cols>
    <col min="1" max="1" width="12.33203125" bestFit="1" customWidth="1"/>
    <col min="2" max="2" width="19.77734375" bestFit="1" customWidth="1"/>
  </cols>
  <sheetData>
    <row r="3" spans="1:2" x14ac:dyDescent="0.3">
      <c r="A3" s="2" t="s">
        <v>235</v>
      </c>
      <c r="B3" t="s">
        <v>249</v>
      </c>
    </row>
    <row r="4" spans="1:2" x14ac:dyDescent="0.3">
      <c r="A4" s="3" t="s">
        <v>2</v>
      </c>
      <c r="B4">
        <v>50</v>
      </c>
    </row>
    <row r="5" spans="1:2" x14ac:dyDescent="0.3">
      <c r="A5" s="3" t="s">
        <v>6</v>
      </c>
      <c r="B5">
        <v>50</v>
      </c>
    </row>
    <row r="6" spans="1:2" x14ac:dyDescent="0.3">
      <c r="A6" s="3" t="s">
        <v>10</v>
      </c>
      <c r="B6">
        <v>50</v>
      </c>
    </row>
    <row r="7" spans="1:2" x14ac:dyDescent="0.3">
      <c r="A7" s="3" t="s">
        <v>14</v>
      </c>
      <c r="B7">
        <v>50</v>
      </c>
    </row>
    <row r="8" spans="1:2" x14ac:dyDescent="0.3">
      <c r="A8" s="3" t="s">
        <v>236</v>
      </c>
      <c r="B8">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2371-BAE9-4593-84D5-CC50AA5C6E53}">
  <dimension ref="A1:W22"/>
  <sheetViews>
    <sheetView tabSelected="1" zoomScale="108" workbookViewId="0">
      <selection sqref="A1:XFD1"/>
    </sheetView>
  </sheetViews>
  <sheetFormatPr defaultRowHeight="14.4" x14ac:dyDescent="0.3"/>
  <cols>
    <col min="18" max="18" width="15.21875" customWidth="1"/>
    <col min="19" max="19" width="13.6640625" customWidth="1"/>
    <col min="20" max="20" width="13.77734375" customWidth="1"/>
    <col min="21" max="21" width="10.88671875" customWidth="1"/>
  </cols>
  <sheetData>
    <row r="1" spans="1:23" s="9" customFormat="1" x14ac:dyDescent="0.3">
      <c r="A1" s="7" t="s">
        <v>250</v>
      </c>
      <c r="B1" s="8"/>
      <c r="C1" s="8"/>
      <c r="D1" s="8"/>
      <c r="E1" s="8"/>
      <c r="F1" s="8"/>
      <c r="G1" s="8"/>
      <c r="H1" s="8"/>
      <c r="I1" s="8"/>
      <c r="J1" s="8"/>
      <c r="K1" s="8"/>
      <c r="L1" s="8"/>
      <c r="M1" s="8"/>
      <c r="N1" s="8"/>
      <c r="O1" s="8"/>
      <c r="P1" s="8"/>
      <c r="Q1" s="8"/>
      <c r="R1" s="8"/>
      <c r="S1" s="8"/>
    </row>
    <row r="2" spans="1:23" ht="25.8" x14ac:dyDescent="0.5">
      <c r="A2" s="6"/>
      <c r="B2" s="6"/>
      <c r="C2" s="6"/>
      <c r="D2" s="6"/>
      <c r="E2" s="6"/>
      <c r="F2" s="6"/>
      <c r="G2" s="6"/>
      <c r="H2" s="6"/>
      <c r="I2" s="6"/>
      <c r="J2" s="6"/>
      <c r="K2" s="6"/>
      <c r="L2" s="6"/>
      <c r="M2" s="6"/>
      <c r="N2" s="6"/>
      <c r="O2" s="6"/>
      <c r="P2" s="6"/>
      <c r="Q2" s="6"/>
      <c r="R2" s="6"/>
      <c r="S2" s="6"/>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t="s">
        <v>230</v>
      </c>
      <c r="Q20" t="s">
        <v>231</v>
      </c>
      <c r="R20" t="s">
        <v>232</v>
      </c>
      <c r="S20" t="s">
        <v>233</v>
      </c>
      <c r="T20" t="s">
        <v>234</v>
      </c>
      <c r="U20" s="5"/>
      <c r="V20" s="5"/>
      <c r="W20" s="5"/>
    </row>
    <row r="21" spans="1:23" x14ac:dyDescent="0.3">
      <c r="A21" s="5"/>
      <c r="B21" s="5"/>
      <c r="C21" s="5"/>
      <c r="D21" s="5"/>
      <c r="E21" s="5"/>
      <c r="F21" s="5"/>
      <c r="G21" s="5"/>
      <c r="H21" s="5"/>
      <c r="I21" s="5"/>
      <c r="J21" s="5"/>
      <c r="K21" s="5"/>
      <c r="L21" s="5"/>
      <c r="M21" s="5"/>
      <c r="N21" s="5"/>
      <c r="O21" s="5"/>
      <c r="P21">
        <f>COUNTA(Table1[Employee_ID])</f>
        <v>200</v>
      </c>
      <c r="Q21">
        <f>COUNTIF(Table1[Attrition],"yes")</f>
        <v>50</v>
      </c>
      <c r="R21" s="1">
        <f>AVERAGE(Table1[Attrition Flag])</f>
        <v>0.25</v>
      </c>
      <c r="S21">
        <f>AVERAGE(Table1[Monthly_Income])</f>
        <v>5411</v>
      </c>
      <c r="T21">
        <f>AVERAGE(Table1[Age])</f>
        <v>33.795000000000002</v>
      </c>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sheetData>
  <mergeCells count="1">
    <mergeCell ref="A1:S1"/>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6A20-9031-42EF-BB46-353004E05877}">
  <dimension ref="A1:M201"/>
  <sheetViews>
    <sheetView topLeftCell="A2" workbookViewId="0">
      <selection activeCell="A4" sqref="A4"/>
    </sheetView>
  </sheetViews>
  <sheetFormatPr defaultRowHeight="14.4" x14ac:dyDescent="0.3"/>
  <cols>
    <col min="1" max="1" width="13.77734375" customWidth="1"/>
    <col min="3" max="3" width="13.5546875" customWidth="1"/>
    <col min="4" max="4" width="16.88671875" customWidth="1"/>
    <col min="5" max="5" width="19.21875" customWidth="1"/>
    <col min="6" max="6" width="20.21875" customWidth="1"/>
    <col min="7" max="7" width="18.109375" customWidth="1"/>
    <col min="8" max="8" width="19" customWidth="1"/>
    <col min="9" max="9" width="10" customWidth="1"/>
  </cols>
  <sheetData>
    <row r="1" spans="1:13" x14ac:dyDescent="0.3">
      <c r="A1" t="s">
        <v>225</v>
      </c>
      <c r="B1" t="s">
        <v>224</v>
      </c>
      <c r="C1" t="s">
        <v>223</v>
      </c>
      <c r="D1" t="s">
        <v>222</v>
      </c>
      <c r="E1" t="s">
        <v>221</v>
      </c>
      <c r="F1" t="s">
        <v>220</v>
      </c>
      <c r="G1" t="s">
        <v>219</v>
      </c>
      <c r="H1" t="s">
        <v>218</v>
      </c>
      <c r="I1" t="s">
        <v>217</v>
      </c>
      <c r="J1" t="s">
        <v>226</v>
      </c>
      <c r="K1" t="s">
        <v>227</v>
      </c>
      <c r="L1" t="s">
        <v>228</v>
      </c>
      <c r="M1" t="s">
        <v>229</v>
      </c>
    </row>
    <row r="2" spans="1:13" x14ac:dyDescent="0.3">
      <c r="A2" t="s">
        <v>216</v>
      </c>
      <c r="B2">
        <v>24</v>
      </c>
      <c r="C2" t="s">
        <v>7</v>
      </c>
      <c r="D2" t="s">
        <v>14</v>
      </c>
      <c r="E2" t="s">
        <v>13</v>
      </c>
      <c r="F2">
        <v>3200</v>
      </c>
      <c r="G2">
        <v>2</v>
      </c>
      <c r="H2">
        <v>1</v>
      </c>
      <c r="I2" t="s">
        <v>12</v>
      </c>
      <c r="J2" t="str">
        <f>IF(Table1[[#This Row],[Age]]&lt;25,"Below 25",IF(Table1[[#This Row],[Age]]&lt;35,"25-34",IF(Table1[[#This Row],[Age]]&lt;45,"35-44","45+")))</f>
        <v>Below 25</v>
      </c>
      <c r="K2" t="str">
        <f>IF(Table1[[#This Row],[Monthly_Income]]&lt;4000,"Low",IF(Table1[[#This Row],[Monthly_Income]]&lt;7000,"Medium","High"))</f>
        <v>Low</v>
      </c>
      <c r="L2">
        <f>IF(Table1[[#This Row],[Attrition]]="Yes",1,0)</f>
        <v>1</v>
      </c>
      <c r="M2" t="str">
        <f>IF(Table1[[#This Row],[Years_at_Company]]&lt;2,"0-2 Years",IF(Table1[[#This Row],[Years_at_Company]]&lt;=5,"3-5 Years",IF(Table1[[#This Row],[Years_at_Company]]&lt;=10,"6-10 Years","10+ Years")))</f>
        <v>0-2 Years</v>
      </c>
    </row>
    <row r="3" spans="1:13" x14ac:dyDescent="0.3">
      <c r="A3" t="s">
        <v>215</v>
      </c>
      <c r="B3">
        <v>35</v>
      </c>
      <c r="C3" t="s">
        <v>3</v>
      </c>
      <c r="D3" t="s">
        <v>10</v>
      </c>
      <c r="E3" t="s">
        <v>20</v>
      </c>
      <c r="F3">
        <v>6500</v>
      </c>
      <c r="G3">
        <v>4</v>
      </c>
      <c r="H3">
        <v>7</v>
      </c>
      <c r="I3" t="s">
        <v>0</v>
      </c>
      <c r="J3" t="str">
        <f>IF(Table1[[#This Row],[Age]]&lt;25,"Below 25",IF(Table1[[#This Row],[Age]]&lt;35,"25-34",IF(Table1[[#This Row],[Age]]&lt;45,"35-44","45+")))</f>
        <v>35-44</v>
      </c>
      <c r="K3" t="str">
        <f>IF(Table1[[#This Row],[Monthly_Income]]&lt;4000,"Low",IF(Table1[[#This Row],[Monthly_Income]]&lt;7000,"Medium","High"))</f>
        <v>Medium</v>
      </c>
      <c r="L3">
        <f>IF(Table1[[#This Row],[Attrition]]="Yes",1,0)</f>
        <v>0</v>
      </c>
      <c r="M3" t="str">
        <f>IF(Table1[[#This Row],[Years_at_Company]]&lt;2,"0-2 Years",IF(Table1[[#This Row],[Years_at_Company]]&lt;=5,"3-5 Years",IF(Table1[[#This Row],[Years_at_Company]]&lt;=10,"6-10 Years","10+ Years")))</f>
        <v>6-10 Years</v>
      </c>
    </row>
    <row r="4" spans="1:13" x14ac:dyDescent="0.3">
      <c r="A4" t="s">
        <v>214</v>
      </c>
      <c r="B4">
        <v>29</v>
      </c>
      <c r="C4" t="s">
        <v>7</v>
      </c>
      <c r="D4" t="s">
        <v>6</v>
      </c>
      <c r="E4" t="s">
        <v>18</v>
      </c>
      <c r="F4">
        <v>4200</v>
      </c>
      <c r="G4">
        <v>3</v>
      </c>
      <c r="H4">
        <v>4</v>
      </c>
      <c r="I4" t="s">
        <v>0</v>
      </c>
      <c r="J4" t="str">
        <f>IF(Table1[[#This Row],[Age]]&lt;25,"Below 25",IF(Table1[[#This Row],[Age]]&lt;35,"25-34",IF(Table1[[#This Row],[Age]]&lt;45,"35-44","45+")))</f>
        <v>25-34</v>
      </c>
      <c r="K4" t="str">
        <f>IF(Table1[[#This Row],[Monthly_Income]]&lt;4000,"Low",IF(Table1[[#This Row],[Monthly_Income]]&lt;7000,"Medium","High"))</f>
        <v>Medium</v>
      </c>
      <c r="L4">
        <f>IF(Table1[[#This Row],[Attrition]]="Yes",1,0)</f>
        <v>0</v>
      </c>
      <c r="M4" t="str">
        <f>IF(Table1[[#This Row],[Years_at_Company]]&lt;2,"0-2 Years",IF(Table1[[#This Row],[Years_at_Company]]&lt;=5,"3-5 Years",IF(Table1[[#This Row],[Years_at_Company]]&lt;=10,"6-10 Years","10+ Years")))</f>
        <v>3-5 Years</v>
      </c>
    </row>
    <row r="5" spans="1:13" x14ac:dyDescent="0.3">
      <c r="A5" t="s">
        <v>213</v>
      </c>
      <c r="B5">
        <v>42</v>
      </c>
      <c r="C5" t="s">
        <v>3</v>
      </c>
      <c r="D5" t="s">
        <v>2</v>
      </c>
      <c r="E5" t="s">
        <v>23</v>
      </c>
      <c r="F5">
        <v>7200</v>
      </c>
      <c r="G5">
        <v>4</v>
      </c>
      <c r="H5">
        <v>10</v>
      </c>
      <c r="I5" t="s">
        <v>0</v>
      </c>
      <c r="J5" t="str">
        <f>IF(Table1[[#This Row],[Age]]&lt;25,"Below 25",IF(Table1[[#This Row],[Age]]&lt;35,"25-34",IF(Table1[[#This Row],[Age]]&lt;45,"35-44","45+")))</f>
        <v>35-44</v>
      </c>
      <c r="K5" t="str">
        <f>IF(Table1[[#This Row],[Monthly_Income]]&lt;4000,"Low",IF(Table1[[#This Row],[Monthly_Income]]&lt;7000,"Medium","High"))</f>
        <v>High</v>
      </c>
      <c r="L5">
        <f>IF(Table1[[#This Row],[Attrition]]="Yes",1,0)</f>
        <v>0</v>
      </c>
      <c r="M5" t="str">
        <f>IF(Table1[[#This Row],[Years_at_Company]]&lt;2,"0-2 Years",IF(Table1[[#This Row],[Years_at_Company]]&lt;=5,"3-5 Years",IF(Table1[[#This Row],[Years_at_Company]]&lt;=10,"6-10 Years","10+ Years")))</f>
        <v>6-10 Years</v>
      </c>
    </row>
    <row r="6" spans="1:13" x14ac:dyDescent="0.3">
      <c r="A6" t="s">
        <v>212</v>
      </c>
      <c r="B6">
        <v>26</v>
      </c>
      <c r="C6" t="s">
        <v>7</v>
      </c>
      <c r="D6" t="s">
        <v>14</v>
      </c>
      <c r="E6" t="s">
        <v>13</v>
      </c>
      <c r="F6">
        <v>3500</v>
      </c>
      <c r="G6">
        <v>2</v>
      </c>
      <c r="H6">
        <v>2</v>
      </c>
      <c r="I6" t="s">
        <v>12</v>
      </c>
      <c r="J6" t="str">
        <f>IF(Table1[[#This Row],[Age]]&lt;25,"Below 25",IF(Table1[[#This Row],[Age]]&lt;35,"25-34",IF(Table1[[#This Row],[Age]]&lt;45,"35-44","45+")))</f>
        <v>25-34</v>
      </c>
      <c r="K6" t="str">
        <f>IF(Table1[[#This Row],[Monthly_Income]]&lt;4000,"Low",IF(Table1[[#This Row],[Monthly_Income]]&lt;7000,"Medium","High"))</f>
        <v>Low</v>
      </c>
      <c r="L6">
        <f>IF(Table1[[#This Row],[Attrition]]="Yes",1,0)</f>
        <v>1</v>
      </c>
      <c r="M6" t="str">
        <f>IF(Table1[[#This Row],[Years_at_Company]]&lt;2,"0-2 Years",IF(Table1[[#This Row],[Years_at_Company]]&lt;=5,"3-5 Years",IF(Table1[[#This Row],[Years_at_Company]]&lt;=10,"6-10 Years","10+ Years")))</f>
        <v>3-5 Years</v>
      </c>
    </row>
    <row r="7" spans="1:13" x14ac:dyDescent="0.3">
      <c r="A7" t="s">
        <v>211</v>
      </c>
      <c r="B7">
        <v>31</v>
      </c>
      <c r="C7" t="s">
        <v>3</v>
      </c>
      <c r="D7" t="s">
        <v>10</v>
      </c>
      <c r="E7" t="s">
        <v>20</v>
      </c>
      <c r="F7">
        <v>5800</v>
      </c>
      <c r="G7">
        <v>3</v>
      </c>
      <c r="H7">
        <v>5</v>
      </c>
      <c r="I7" t="s">
        <v>0</v>
      </c>
      <c r="J7" t="str">
        <f>IF(Table1[[#This Row],[Age]]&lt;25,"Below 25",IF(Table1[[#This Row],[Age]]&lt;35,"25-34",IF(Table1[[#This Row],[Age]]&lt;45,"35-44","45+")))</f>
        <v>25-34</v>
      </c>
      <c r="K7" t="str">
        <f>IF(Table1[[#This Row],[Monthly_Income]]&lt;4000,"Low",IF(Table1[[#This Row],[Monthly_Income]]&lt;7000,"Medium","High"))</f>
        <v>Medium</v>
      </c>
      <c r="L7">
        <f>IF(Table1[[#This Row],[Attrition]]="Yes",1,0)</f>
        <v>0</v>
      </c>
      <c r="M7" t="str">
        <f>IF(Table1[[#This Row],[Years_at_Company]]&lt;2,"0-2 Years",IF(Table1[[#This Row],[Years_at_Company]]&lt;=5,"3-5 Years",IF(Table1[[#This Row],[Years_at_Company]]&lt;=10,"6-10 Years","10+ Years")))</f>
        <v>3-5 Years</v>
      </c>
    </row>
    <row r="8" spans="1:13" x14ac:dyDescent="0.3">
      <c r="A8" t="s">
        <v>210</v>
      </c>
      <c r="B8">
        <v>38</v>
      </c>
      <c r="C8" t="s">
        <v>7</v>
      </c>
      <c r="D8" t="s">
        <v>6</v>
      </c>
      <c r="E8" t="s">
        <v>5</v>
      </c>
      <c r="F8">
        <v>4900</v>
      </c>
      <c r="G8">
        <v>4</v>
      </c>
      <c r="H8">
        <v>8</v>
      </c>
      <c r="I8" t="s">
        <v>0</v>
      </c>
      <c r="J8" t="str">
        <f>IF(Table1[[#This Row],[Age]]&lt;25,"Below 25",IF(Table1[[#This Row],[Age]]&lt;35,"25-34",IF(Table1[[#This Row],[Age]]&lt;45,"35-44","45+")))</f>
        <v>35-44</v>
      </c>
      <c r="K8" t="str">
        <f>IF(Table1[[#This Row],[Monthly_Income]]&lt;4000,"Low",IF(Table1[[#This Row],[Monthly_Income]]&lt;7000,"Medium","High"))</f>
        <v>Medium</v>
      </c>
      <c r="L8">
        <f>IF(Table1[[#This Row],[Attrition]]="Yes",1,0)</f>
        <v>0</v>
      </c>
      <c r="M8" t="str">
        <f>IF(Table1[[#This Row],[Years_at_Company]]&lt;2,"0-2 Years",IF(Table1[[#This Row],[Years_at_Company]]&lt;=5,"3-5 Years",IF(Table1[[#This Row],[Years_at_Company]]&lt;=10,"6-10 Years","10+ Years")))</f>
        <v>6-10 Years</v>
      </c>
    </row>
    <row r="9" spans="1:13" x14ac:dyDescent="0.3">
      <c r="A9" t="s">
        <v>209</v>
      </c>
      <c r="B9">
        <v>45</v>
      </c>
      <c r="C9" t="s">
        <v>3</v>
      </c>
      <c r="D9" t="s">
        <v>2</v>
      </c>
      <c r="E9" t="s">
        <v>16</v>
      </c>
      <c r="F9">
        <v>6800</v>
      </c>
      <c r="G9">
        <v>3</v>
      </c>
      <c r="H9">
        <v>12</v>
      </c>
      <c r="I9" t="s">
        <v>0</v>
      </c>
      <c r="J9" t="str">
        <f>IF(Table1[[#This Row],[Age]]&lt;25,"Below 25",IF(Table1[[#This Row],[Age]]&lt;35,"25-34",IF(Table1[[#This Row],[Age]]&lt;45,"35-44","45+")))</f>
        <v>45+</v>
      </c>
      <c r="K9" t="str">
        <f>IF(Table1[[#This Row],[Monthly_Income]]&lt;4000,"Low",IF(Table1[[#This Row],[Monthly_Income]]&lt;7000,"Medium","High"))</f>
        <v>Medium</v>
      </c>
      <c r="L9">
        <f>IF(Table1[[#This Row],[Attrition]]="Yes",1,0)</f>
        <v>0</v>
      </c>
      <c r="M9" t="str">
        <f>IF(Table1[[#This Row],[Years_at_Company]]&lt;2,"0-2 Years",IF(Table1[[#This Row],[Years_at_Company]]&lt;=5,"3-5 Years",IF(Table1[[#This Row],[Years_at_Company]]&lt;=10,"6-10 Years","10+ Years")))</f>
        <v>10+ Years</v>
      </c>
    </row>
    <row r="10" spans="1:13" x14ac:dyDescent="0.3">
      <c r="A10" t="s">
        <v>208</v>
      </c>
      <c r="B10">
        <v>23</v>
      </c>
      <c r="C10" t="s">
        <v>3</v>
      </c>
      <c r="D10" t="s">
        <v>14</v>
      </c>
      <c r="E10" t="s">
        <v>13</v>
      </c>
      <c r="F10">
        <v>3000</v>
      </c>
      <c r="G10">
        <v>1</v>
      </c>
      <c r="H10">
        <v>1</v>
      </c>
      <c r="I10" t="s">
        <v>12</v>
      </c>
      <c r="J10" t="str">
        <f>IF(Table1[[#This Row],[Age]]&lt;25,"Below 25",IF(Table1[[#This Row],[Age]]&lt;35,"25-34",IF(Table1[[#This Row],[Age]]&lt;45,"35-44","45+")))</f>
        <v>Below 25</v>
      </c>
      <c r="K10" t="str">
        <f>IF(Table1[[#This Row],[Monthly_Income]]&lt;4000,"Low",IF(Table1[[#This Row],[Monthly_Income]]&lt;7000,"Medium","High"))</f>
        <v>Low</v>
      </c>
      <c r="L10">
        <f>IF(Table1[[#This Row],[Attrition]]="Yes",1,0)</f>
        <v>1</v>
      </c>
      <c r="M10" t="str">
        <f>IF(Table1[[#This Row],[Years_at_Company]]&lt;2,"0-2 Years",IF(Table1[[#This Row],[Years_at_Company]]&lt;=5,"3-5 Years",IF(Table1[[#This Row],[Years_at_Company]]&lt;=10,"6-10 Years","10+ Years")))</f>
        <v>0-2 Years</v>
      </c>
    </row>
    <row r="11" spans="1:13" x14ac:dyDescent="0.3">
      <c r="A11" t="s">
        <v>207</v>
      </c>
      <c r="B11">
        <v>34</v>
      </c>
      <c r="C11" t="s">
        <v>7</v>
      </c>
      <c r="D11" t="s">
        <v>10</v>
      </c>
      <c r="E11" t="s">
        <v>9</v>
      </c>
      <c r="F11">
        <v>6200</v>
      </c>
      <c r="G11">
        <v>4</v>
      </c>
      <c r="H11">
        <v>6</v>
      </c>
      <c r="I11" t="s">
        <v>0</v>
      </c>
      <c r="J11" t="str">
        <f>IF(Table1[[#This Row],[Age]]&lt;25,"Below 25",IF(Table1[[#This Row],[Age]]&lt;35,"25-34",IF(Table1[[#This Row],[Age]]&lt;45,"35-44","45+")))</f>
        <v>25-34</v>
      </c>
      <c r="K11" t="str">
        <f>IF(Table1[[#This Row],[Monthly_Income]]&lt;4000,"Low",IF(Table1[[#This Row],[Monthly_Income]]&lt;7000,"Medium","High"))</f>
        <v>Medium</v>
      </c>
      <c r="L11">
        <f>IF(Table1[[#This Row],[Attrition]]="Yes",1,0)</f>
        <v>0</v>
      </c>
      <c r="M11" t="str">
        <f>IF(Table1[[#This Row],[Years_at_Company]]&lt;2,"0-2 Years",IF(Table1[[#This Row],[Years_at_Company]]&lt;=5,"3-5 Years",IF(Table1[[#This Row],[Years_at_Company]]&lt;=10,"6-10 Years","10+ Years")))</f>
        <v>6-10 Years</v>
      </c>
    </row>
    <row r="12" spans="1:13" x14ac:dyDescent="0.3">
      <c r="A12" t="s">
        <v>206</v>
      </c>
      <c r="B12">
        <v>28</v>
      </c>
      <c r="C12" t="s">
        <v>3</v>
      </c>
      <c r="D12" t="s">
        <v>6</v>
      </c>
      <c r="E12" t="s">
        <v>18</v>
      </c>
      <c r="F12">
        <v>4100</v>
      </c>
      <c r="G12">
        <v>3</v>
      </c>
      <c r="H12">
        <v>3</v>
      </c>
      <c r="I12" t="s">
        <v>0</v>
      </c>
      <c r="J12" t="str">
        <f>IF(Table1[[#This Row],[Age]]&lt;25,"Below 25",IF(Table1[[#This Row],[Age]]&lt;35,"25-34",IF(Table1[[#This Row],[Age]]&lt;45,"35-44","45+")))</f>
        <v>25-34</v>
      </c>
      <c r="K12" t="str">
        <f>IF(Table1[[#This Row],[Monthly_Income]]&lt;4000,"Low",IF(Table1[[#This Row],[Monthly_Income]]&lt;7000,"Medium","High"))</f>
        <v>Medium</v>
      </c>
      <c r="L12">
        <f>IF(Table1[[#This Row],[Attrition]]="Yes",1,0)</f>
        <v>0</v>
      </c>
      <c r="M12" t="str">
        <f>IF(Table1[[#This Row],[Years_at_Company]]&lt;2,"0-2 Years",IF(Table1[[#This Row],[Years_at_Company]]&lt;=5,"3-5 Years",IF(Table1[[#This Row],[Years_at_Company]]&lt;=10,"6-10 Years","10+ Years")))</f>
        <v>3-5 Years</v>
      </c>
    </row>
    <row r="13" spans="1:13" x14ac:dyDescent="0.3">
      <c r="A13" t="s">
        <v>205</v>
      </c>
      <c r="B13">
        <v>40</v>
      </c>
      <c r="C13" t="s">
        <v>7</v>
      </c>
      <c r="D13" t="s">
        <v>2</v>
      </c>
      <c r="E13" t="s">
        <v>23</v>
      </c>
      <c r="F13">
        <v>7500</v>
      </c>
      <c r="G13">
        <v>4</v>
      </c>
      <c r="H13">
        <v>9</v>
      </c>
      <c r="I13" t="s">
        <v>0</v>
      </c>
      <c r="J13" t="str">
        <f>IF(Table1[[#This Row],[Age]]&lt;25,"Below 25",IF(Table1[[#This Row],[Age]]&lt;35,"25-34",IF(Table1[[#This Row],[Age]]&lt;45,"35-44","45+")))</f>
        <v>35-44</v>
      </c>
      <c r="K13" t="str">
        <f>IF(Table1[[#This Row],[Monthly_Income]]&lt;4000,"Low",IF(Table1[[#This Row],[Monthly_Income]]&lt;7000,"Medium","High"))</f>
        <v>High</v>
      </c>
      <c r="L13">
        <f>IF(Table1[[#This Row],[Attrition]]="Yes",1,0)</f>
        <v>0</v>
      </c>
      <c r="M13" t="str">
        <f>IF(Table1[[#This Row],[Years_at_Company]]&lt;2,"0-2 Years",IF(Table1[[#This Row],[Years_at_Company]]&lt;=5,"3-5 Years",IF(Table1[[#This Row],[Years_at_Company]]&lt;=10,"6-10 Years","10+ Years")))</f>
        <v>6-10 Years</v>
      </c>
    </row>
    <row r="14" spans="1:13" x14ac:dyDescent="0.3">
      <c r="A14" t="s">
        <v>204</v>
      </c>
      <c r="B14">
        <v>27</v>
      </c>
      <c r="C14" t="s">
        <v>7</v>
      </c>
      <c r="D14" t="s">
        <v>14</v>
      </c>
      <c r="E14" t="s">
        <v>13</v>
      </c>
      <c r="F14">
        <v>3400</v>
      </c>
      <c r="G14">
        <v>2</v>
      </c>
      <c r="H14">
        <v>2</v>
      </c>
      <c r="I14" t="s">
        <v>12</v>
      </c>
      <c r="J14" t="str">
        <f>IF(Table1[[#This Row],[Age]]&lt;25,"Below 25",IF(Table1[[#This Row],[Age]]&lt;35,"25-34",IF(Table1[[#This Row],[Age]]&lt;45,"35-44","45+")))</f>
        <v>25-34</v>
      </c>
      <c r="K14" t="str">
        <f>IF(Table1[[#This Row],[Monthly_Income]]&lt;4000,"Low",IF(Table1[[#This Row],[Monthly_Income]]&lt;7000,"Medium","High"))</f>
        <v>Low</v>
      </c>
      <c r="L14">
        <f>IF(Table1[[#This Row],[Attrition]]="Yes",1,0)</f>
        <v>1</v>
      </c>
      <c r="M14" t="str">
        <f>IF(Table1[[#This Row],[Years_at_Company]]&lt;2,"0-2 Years",IF(Table1[[#This Row],[Years_at_Company]]&lt;=5,"3-5 Years",IF(Table1[[#This Row],[Years_at_Company]]&lt;=10,"6-10 Years","10+ Years")))</f>
        <v>3-5 Years</v>
      </c>
    </row>
    <row r="15" spans="1:13" x14ac:dyDescent="0.3">
      <c r="A15" t="s">
        <v>203</v>
      </c>
      <c r="B15">
        <v>36</v>
      </c>
      <c r="C15" t="s">
        <v>3</v>
      </c>
      <c r="D15" t="s">
        <v>10</v>
      </c>
      <c r="E15" t="s">
        <v>20</v>
      </c>
      <c r="F15">
        <v>6100</v>
      </c>
      <c r="G15">
        <v>3</v>
      </c>
      <c r="H15">
        <v>7</v>
      </c>
      <c r="I15" t="s">
        <v>0</v>
      </c>
      <c r="J15" t="str">
        <f>IF(Table1[[#This Row],[Age]]&lt;25,"Below 25",IF(Table1[[#This Row],[Age]]&lt;35,"25-34",IF(Table1[[#This Row],[Age]]&lt;45,"35-44","45+")))</f>
        <v>35-44</v>
      </c>
      <c r="K15" t="str">
        <f>IF(Table1[[#This Row],[Monthly_Income]]&lt;4000,"Low",IF(Table1[[#This Row],[Monthly_Income]]&lt;7000,"Medium","High"))</f>
        <v>Medium</v>
      </c>
      <c r="L15">
        <f>IF(Table1[[#This Row],[Attrition]]="Yes",1,0)</f>
        <v>0</v>
      </c>
      <c r="M15" t="str">
        <f>IF(Table1[[#This Row],[Years_at_Company]]&lt;2,"0-2 Years",IF(Table1[[#This Row],[Years_at_Company]]&lt;=5,"3-5 Years",IF(Table1[[#This Row],[Years_at_Company]]&lt;=10,"6-10 Years","10+ Years")))</f>
        <v>6-10 Years</v>
      </c>
    </row>
    <row r="16" spans="1:13" x14ac:dyDescent="0.3">
      <c r="A16" t="s">
        <v>202</v>
      </c>
      <c r="B16">
        <v>30</v>
      </c>
      <c r="C16" t="s">
        <v>7</v>
      </c>
      <c r="D16" t="s">
        <v>6</v>
      </c>
      <c r="E16" t="s">
        <v>5</v>
      </c>
      <c r="F16">
        <v>4500</v>
      </c>
      <c r="G16">
        <v>3</v>
      </c>
      <c r="H16">
        <v>4</v>
      </c>
      <c r="I16" t="s">
        <v>0</v>
      </c>
      <c r="J16" t="str">
        <f>IF(Table1[[#This Row],[Age]]&lt;25,"Below 25",IF(Table1[[#This Row],[Age]]&lt;35,"25-34",IF(Table1[[#This Row],[Age]]&lt;45,"35-44","45+")))</f>
        <v>25-34</v>
      </c>
      <c r="K16" t="str">
        <f>IF(Table1[[#This Row],[Monthly_Income]]&lt;4000,"Low",IF(Table1[[#This Row],[Monthly_Income]]&lt;7000,"Medium","High"))</f>
        <v>Medium</v>
      </c>
      <c r="L16">
        <f>IF(Table1[[#This Row],[Attrition]]="Yes",1,0)</f>
        <v>0</v>
      </c>
      <c r="M16" t="str">
        <f>IF(Table1[[#This Row],[Years_at_Company]]&lt;2,"0-2 Years",IF(Table1[[#This Row],[Years_at_Company]]&lt;=5,"3-5 Years",IF(Table1[[#This Row],[Years_at_Company]]&lt;=10,"6-10 Years","10+ Years")))</f>
        <v>3-5 Years</v>
      </c>
    </row>
    <row r="17" spans="1:13" x14ac:dyDescent="0.3">
      <c r="A17" t="s">
        <v>201</v>
      </c>
      <c r="B17">
        <v>44</v>
      </c>
      <c r="C17" t="s">
        <v>3</v>
      </c>
      <c r="D17" t="s">
        <v>2</v>
      </c>
      <c r="E17" t="s">
        <v>16</v>
      </c>
      <c r="F17">
        <v>7000</v>
      </c>
      <c r="G17">
        <v>4</v>
      </c>
      <c r="H17">
        <v>11</v>
      </c>
      <c r="I17" t="s">
        <v>0</v>
      </c>
      <c r="J17" t="str">
        <f>IF(Table1[[#This Row],[Age]]&lt;25,"Below 25",IF(Table1[[#This Row],[Age]]&lt;35,"25-34",IF(Table1[[#This Row],[Age]]&lt;45,"35-44","45+")))</f>
        <v>35-44</v>
      </c>
      <c r="K17" t="str">
        <f>IF(Table1[[#This Row],[Monthly_Income]]&lt;4000,"Low",IF(Table1[[#This Row],[Monthly_Income]]&lt;7000,"Medium","High"))</f>
        <v>High</v>
      </c>
      <c r="L17">
        <f>IF(Table1[[#This Row],[Attrition]]="Yes",1,0)</f>
        <v>0</v>
      </c>
      <c r="M17" t="str">
        <f>IF(Table1[[#This Row],[Years_at_Company]]&lt;2,"0-2 Years",IF(Table1[[#This Row],[Years_at_Company]]&lt;=5,"3-5 Years",IF(Table1[[#This Row],[Years_at_Company]]&lt;=10,"6-10 Years","10+ Years")))</f>
        <v>10+ Years</v>
      </c>
    </row>
    <row r="18" spans="1:13" x14ac:dyDescent="0.3">
      <c r="A18" t="s">
        <v>200</v>
      </c>
      <c r="B18">
        <v>25</v>
      </c>
      <c r="C18" t="s">
        <v>3</v>
      </c>
      <c r="D18" t="s">
        <v>14</v>
      </c>
      <c r="E18" t="s">
        <v>13</v>
      </c>
      <c r="F18">
        <v>3300</v>
      </c>
      <c r="G18">
        <v>2</v>
      </c>
      <c r="H18">
        <v>1</v>
      </c>
      <c r="I18" t="s">
        <v>12</v>
      </c>
      <c r="J18" t="str">
        <f>IF(Table1[[#This Row],[Age]]&lt;25,"Below 25",IF(Table1[[#This Row],[Age]]&lt;35,"25-34",IF(Table1[[#This Row],[Age]]&lt;45,"35-44","45+")))</f>
        <v>25-34</v>
      </c>
      <c r="K18" t="str">
        <f>IF(Table1[[#This Row],[Monthly_Income]]&lt;4000,"Low",IF(Table1[[#This Row],[Monthly_Income]]&lt;7000,"Medium","High"))</f>
        <v>Low</v>
      </c>
      <c r="L18">
        <f>IF(Table1[[#This Row],[Attrition]]="Yes",1,0)</f>
        <v>1</v>
      </c>
      <c r="M18" t="str">
        <f>IF(Table1[[#This Row],[Years_at_Company]]&lt;2,"0-2 Years",IF(Table1[[#This Row],[Years_at_Company]]&lt;=5,"3-5 Years",IF(Table1[[#This Row],[Years_at_Company]]&lt;=10,"6-10 Years","10+ Years")))</f>
        <v>0-2 Years</v>
      </c>
    </row>
    <row r="19" spans="1:13" x14ac:dyDescent="0.3">
      <c r="A19" t="s">
        <v>199</v>
      </c>
      <c r="B19">
        <v>33</v>
      </c>
      <c r="C19" t="s">
        <v>7</v>
      </c>
      <c r="D19" t="s">
        <v>10</v>
      </c>
      <c r="E19" t="s">
        <v>9</v>
      </c>
      <c r="F19">
        <v>5900</v>
      </c>
      <c r="G19">
        <v>4</v>
      </c>
      <c r="H19">
        <v>5</v>
      </c>
      <c r="I19" t="s">
        <v>0</v>
      </c>
      <c r="J19" t="str">
        <f>IF(Table1[[#This Row],[Age]]&lt;25,"Below 25",IF(Table1[[#This Row],[Age]]&lt;35,"25-34",IF(Table1[[#This Row],[Age]]&lt;45,"35-44","45+")))</f>
        <v>25-34</v>
      </c>
      <c r="K19" t="str">
        <f>IF(Table1[[#This Row],[Monthly_Income]]&lt;4000,"Low",IF(Table1[[#This Row],[Monthly_Income]]&lt;7000,"Medium","High"))</f>
        <v>Medium</v>
      </c>
      <c r="L19">
        <f>IF(Table1[[#This Row],[Attrition]]="Yes",1,0)</f>
        <v>0</v>
      </c>
      <c r="M19" t="str">
        <f>IF(Table1[[#This Row],[Years_at_Company]]&lt;2,"0-2 Years",IF(Table1[[#This Row],[Years_at_Company]]&lt;=5,"3-5 Years",IF(Table1[[#This Row],[Years_at_Company]]&lt;=10,"6-10 Years","10+ Years")))</f>
        <v>3-5 Years</v>
      </c>
    </row>
    <row r="20" spans="1:13" x14ac:dyDescent="0.3">
      <c r="A20" t="s">
        <v>198</v>
      </c>
      <c r="B20">
        <v>39</v>
      </c>
      <c r="C20" t="s">
        <v>3</v>
      </c>
      <c r="D20" t="s">
        <v>6</v>
      </c>
      <c r="E20" t="s">
        <v>197</v>
      </c>
      <c r="F20">
        <v>7800</v>
      </c>
      <c r="G20">
        <v>4</v>
      </c>
      <c r="H20">
        <v>9</v>
      </c>
      <c r="I20" t="s">
        <v>0</v>
      </c>
      <c r="J20" t="str">
        <f>IF(Table1[[#This Row],[Age]]&lt;25,"Below 25",IF(Table1[[#This Row],[Age]]&lt;35,"25-34",IF(Table1[[#This Row],[Age]]&lt;45,"35-44","45+")))</f>
        <v>35-44</v>
      </c>
      <c r="K20" t="str">
        <f>IF(Table1[[#This Row],[Monthly_Income]]&lt;4000,"Low",IF(Table1[[#This Row],[Monthly_Income]]&lt;7000,"Medium","High"))</f>
        <v>High</v>
      </c>
      <c r="L20">
        <f>IF(Table1[[#This Row],[Attrition]]="Yes",1,0)</f>
        <v>0</v>
      </c>
      <c r="M20" t="str">
        <f>IF(Table1[[#This Row],[Years_at_Company]]&lt;2,"0-2 Years",IF(Table1[[#This Row],[Years_at_Company]]&lt;=5,"3-5 Years",IF(Table1[[#This Row],[Years_at_Company]]&lt;=10,"6-10 Years","10+ Years")))</f>
        <v>6-10 Years</v>
      </c>
    </row>
    <row r="21" spans="1:13" x14ac:dyDescent="0.3">
      <c r="A21" t="s">
        <v>196</v>
      </c>
      <c r="B21">
        <v>47</v>
      </c>
      <c r="C21" t="s">
        <v>7</v>
      </c>
      <c r="D21" t="s">
        <v>2</v>
      </c>
      <c r="E21" t="s">
        <v>1</v>
      </c>
      <c r="F21">
        <v>9200</v>
      </c>
      <c r="G21">
        <v>4</v>
      </c>
      <c r="H21">
        <v>15</v>
      </c>
      <c r="I21" t="s">
        <v>0</v>
      </c>
      <c r="J21" t="str">
        <f>IF(Table1[[#This Row],[Age]]&lt;25,"Below 25",IF(Table1[[#This Row],[Age]]&lt;35,"25-34",IF(Table1[[#This Row],[Age]]&lt;45,"35-44","45+")))</f>
        <v>45+</v>
      </c>
      <c r="K21" t="str">
        <f>IF(Table1[[#This Row],[Monthly_Income]]&lt;4000,"Low",IF(Table1[[#This Row],[Monthly_Income]]&lt;7000,"Medium","High"))</f>
        <v>High</v>
      </c>
      <c r="L21">
        <f>IF(Table1[[#This Row],[Attrition]]="Yes",1,0)</f>
        <v>0</v>
      </c>
      <c r="M21" t="str">
        <f>IF(Table1[[#This Row],[Years_at_Company]]&lt;2,"0-2 Years",IF(Table1[[#This Row],[Years_at_Company]]&lt;=5,"3-5 Years",IF(Table1[[#This Row],[Years_at_Company]]&lt;=10,"6-10 Years","10+ Years")))</f>
        <v>10+ Years</v>
      </c>
    </row>
    <row r="22" spans="1:13" x14ac:dyDescent="0.3">
      <c r="A22" t="s">
        <v>195</v>
      </c>
      <c r="B22">
        <v>29</v>
      </c>
      <c r="C22" t="s">
        <v>3</v>
      </c>
      <c r="D22" t="s">
        <v>14</v>
      </c>
      <c r="E22" t="s">
        <v>13</v>
      </c>
      <c r="F22">
        <v>3700</v>
      </c>
      <c r="G22">
        <v>3</v>
      </c>
      <c r="H22">
        <v>3</v>
      </c>
      <c r="I22" t="s">
        <v>0</v>
      </c>
      <c r="J22" t="str">
        <f>IF(Table1[[#This Row],[Age]]&lt;25,"Below 25",IF(Table1[[#This Row],[Age]]&lt;35,"25-34",IF(Table1[[#This Row],[Age]]&lt;45,"35-44","45+")))</f>
        <v>25-34</v>
      </c>
      <c r="K22" t="str">
        <f>IF(Table1[[#This Row],[Monthly_Income]]&lt;4000,"Low",IF(Table1[[#This Row],[Monthly_Income]]&lt;7000,"Medium","High"))</f>
        <v>Low</v>
      </c>
      <c r="L22">
        <f>IF(Table1[[#This Row],[Attrition]]="Yes",1,0)</f>
        <v>0</v>
      </c>
      <c r="M22" t="str">
        <f>IF(Table1[[#This Row],[Years_at_Company]]&lt;2,"0-2 Years",IF(Table1[[#This Row],[Years_at_Company]]&lt;=5,"3-5 Years",IF(Table1[[#This Row],[Years_at_Company]]&lt;=10,"6-10 Years","10+ Years")))</f>
        <v>3-5 Years</v>
      </c>
    </row>
    <row r="23" spans="1:13" x14ac:dyDescent="0.3">
      <c r="A23" t="s">
        <v>194</v>
      </c>
      <c r="B23">
        <v>32</v>
      </c>
      <c r="C23" t="s">
        <v>7</v>
      </c>
      <c r="D23" t="s">
        <v>10</v>
      </c>
      <c r="E23" t="s">
        <v>20</v>
      </c>
      <c r="F23">
        <v>6000</v>
      </c>
      <c r="G23">
        <v>3</v>
      </c>
      <c r="H23">
        <v>6</v>
      </c>
      <c r="I23" t="s">
        <v>0</v>
      </c>
      <c r="J23" t="str">
        <f>IF(Table1[[#This Row],[Age]]&lt;25,"Below 25",IF(Table1[[#This Row],[Age]]&lt;35,"25-34",IF(Table1[[#This Row],[Age]]&lt;45,"35-44","45+")))</f>
        <v>25-34</v>
      </c>
      <c r="K23" t="str">
        <f>IF(Table1[[#This Row],[Monthly_Income]]&lt;4000,"Low",IF(Table1[[#This Row],[Monthly_Income]]&lt;7000,"Medium","High"))</f>
        <v>Medium</v>
      </c>
      <c r="L23">
        <f>IF(Table1[[#This Row],[Attrition]]="Yes",1,0)</f>
        <v>0</v>
      </c>
      <c r="M23" t="str">
        <f>IF(Table1[[#This Row],[Years_at_Company]]&lt;2,"0-2 Years",IF(Table1[[#This Row],[Years_at_Company]]&lt;=5,"3-5 Years",IF(Table1[[#This Row],[Years_at_Company]]&lt;=10,"6-10 Years","10+ Years")))</f>
        <v>6-10 Years</v>
      </c>
    </row>
    <row r="24" spans="1:13" x14ac:dyDescent="0.3">
      <c r="A24" t="s">
        <v>193</v>
      </c>
      <c r="B24">
        <v>24</v>
      </c>
      <c r="C24" t="s">
        <v>7</v>
      </c>
      <c r="D24" t="s">
        <v>6</v>
      </c>
      <c r="E24" t="s">
        <v>5</v>
      </c>
      <c r="F24">
        <v>3900</v>
      </c>
      <c r="G24">
        <v>2</v>
      </c>
      <c r="H24">
        <v>1</v>
      </c>
      <c r="I24" t="s">
        <v>12</v>
      </c>
      <c r="J24" t="str">
        <f>IF(Table1[[#This Row],[Age]]&lt;25,"Below 25",IF(Table1[[#This Row],[Age]]&lt;35,"25-34",IF(Table1[[#This Row],[Age]]&lt;45,"35-44","45+")))</f>
        <v>Below 25</v>
      </c>
      <c r="K24" t="str">
        <f>IF(Table1[[#This Row],[Monthly_Income]]&lt;4000,"Low",IF(Table1[[#This Row],[Monthly_Income]]&lt;7000,"Medium","High"))</f>
        <v>Low</v>
      </c>
      <c r="L24">
        <f>IF(Table1[[#This Row],[Attrition]]="Yes",1,0)</f>
        <v>1</v>
      </c>
      <c r="M24" t="str">
        <f>IF(Table1[[#This Row],[Years_at_Company]]&lt;2,"0-2 Years",IF(Table1[[#This Row],[Years_at_Company]]&lt;=5,"3-5 Years",IF(Table1[[#This Row],[Years_at_Company]]&lt;=10,"6-10 Years","10+ Years")))</f>
        <v>0-2 Years</v>
      </c>
    </row>
    <row r="25" spans="1:13" x14ac:dyDescent="0.3">
      <c r="A25" t="s">
        <v>192</v>
      </c>
      <c r="B25">
        <v>41</v>
      </c>
      <c r="C25" t="s">
        <v>3</v>
      </c>
      <c r="D25" t="s">
        <v>2</v>
      </c>
      <c r="E25" t="s">
        <v>23</v>
      </c>
      <c r="F25">
        <v>7300</v>
      </c>
      <c r="G25">
        <v>4</v>
      </c>
      <c r="H25">
        <v>10</v>
      </c>
      <c r="I25" t="s">
        <v>0</v>
      </c>
      <c r="J25" t="str">
        <f>IF(Table1[[#This Row],[Age]]&lt;25,"Below 25",IF(Table1[[#This Row],[Age]]&lt;35,"25-34",IF(Table1[[#This Row],[Age]]&lt;45,"35-44","45+")))</f>
        <v>35-44</v>
      </c>
      <c r="K25" t="str">
        <f>IF(Table1[[#This Row],[Monthly_Income]]&lt;4000,"Low",IF(Table1[[#This Row],[Monthly_Income]]&lt;7000,"Medium","High"))</f>
        <v>High</v>
      </c>
      <c r="L25">
        <f>IF(Table1[[#This Row],[Attrition]]="Yes",1,0)</f>
        <v>0</v>
      </c>
      <c r="M25" t="str">
        <f>IF(Table1[[#This Row],[Years_at_Company]]&lt;2,"0-2 Years",IF(Table1[[#This Row],[Years_at_Company]]&lt;=5,"3-5 Years",IF(Table1[[#This Row],[Years_at_Company]]&lt;=10,"6-10 Years","10+ Years")))</f>
        <v>6-10 Years</v>
      </c>
    </row>
    <row r="26" spans="1:13" x14ac:dyDescent="0.3">
      <c r="A26" t="s">
        <v>191</v>
      </c>
      <c r="B26">
        <v>27</v>
      </c>
      <c r="C26" t="s">
        <v>3</v>
      </c>
      <c r="D26" t="s">
        <v>14</v>
      </c>
      <c r="E26" t="s">
        <v>13</v>
      </c>
      <c r="F26">
        <v>3600</v>
      </c>
      <c r="G26">
        <v>2</v>
      </c>
      <c r="H26">
        <v>2</v>
      </c>
      <c r="I26" t="s">
        <v>12</v>
      </c>
      <c r="J26" t="str">
        <f>IF(Table1[[#This Row],[Age]]&lt;25,"Below 25",IF(Table1[[#This Row],[Age]]&lt;35,"25-34",IF(Table1[[#This Row],[Age]]&lt;45,"35-44","45+")))</f>
        <v>25-34</v>
      </c>
      <c r="K26" t="str">
        <f>IF(Table1[[#This Row],[Monthly_Income]]&lt;4000,"Low",IF(Table1[[#This Row],[Monthly_Income]]&lt;7000,"Medium","High"))</f>
        <v>Low</v>
      </c>
      <c r="L26">
        <f>IF(Table1[[#This Row],[Attrition]]="Yes",1,0)</f>
        <v>1</v>
      </c>
      <c r="M26" t="str">
        <f>IF(Table1[[#This Row],[Years_at_Company]]&lt;2,"0-2 Years",IF(Table1[[#This Row],[Years_at_Company]]&lt;=5,"3-5 Years",IF(Table1[[#This Row],[Years_at_Company]]&lt;=10,"6-10 Years","10+ Years")))</f>
        <v>3-5 Years</v>
      </c>
    </row>
    <row r="27" spans="1:13" x14ac:dyDescent="0.3">
      <c r="A27" t="s">
        <v>190</v>
      </c>
      <c r="B27">
        <v>35</v>
      </c>
      <c r="C27" t="s">
        <v>7</v>
      </c>
      <c r="D27" t="s">
        <v>10</v>
      </c>
      <c r="E27" t="s">
        <v>9</v>
      </c>
      <c r="F27">
        <v>6400</v>
      </c>
      <c r="G27">
        <v>4</v>
      </c>
      <c r="H27">
        <v>7</v>
      </c>
      <c r="I27" t="s">
        <v>0</v>
      </c>
      <c r="J27" t="str">
        <f>IF(Table1[[#This Row],[Age]]&lt;25,"Below 25",IF(Table1[[#This Row],[Age]]&lt;35,"25-34",IF(Table1[[#This Row],[Age]]&lt;45,"35-44","45+")))</f>
        <v>35-44</v>
      </c>
      <c r="K27" t="str">
        <f>IF(Table1[[#This Row],[Monthly_Income]]&lt;4000,"Low",IF(Table1[[#This Row],[Monthly_Income]]&lt;7000,"Medium","High"))</f>
        <v>Medium</v>
      </c>
      <c r="L27">
        <f>IF(Table1[[#This Row],[Attrition]]="Yes",1,0)</f>
        <v>0</v>
      </c>
      <c r="M27" t="str">
        <f>IF(Table1[[#This Row],[Years_at_Company]]&lt;2,"0-2 Years",IF(Table1[[#This Row],[Years_at_Company]]&lt;=5,"3-5 Years",IF(Table1[[#This Row],[Years_at_Company]]&lt;=10,"6-10 Years","10+ Years")))</f>
        <v>6-10 Years</v>
      </c>
    </row>
    <row r="28" spans="1:13" x14ac:dyDescent="0.3">
      <c r="A28" t="s">
        <v>189</v>
      </c>
      <c r="B28">
        <v>31</v>
      </c>
      <c r="C28" t="s">
        <v>3</v>
      </c>
      <c r="D28" t="s">
        <v>6</v>
      </c>
      <c r="E28" t="s">
        <v>18</v>
      </c>
      <c r="F28">
        <v>4600</v>
      </c>
      <c r="G28">
        <v>3</v>
      </c>
      <c r="H28">
        <v>5</v>
      </c>
      <c r="I28" t="s">
        <v>0</v>
      </c>
      <c r="J28" t="str">
        <f>IF(Table1[[#This Row],[Age]]&lt;25,"Below 25",IF(Table1[[#This Row],[Age]]&lt;35,"25-34",IF(Table1[[#This Row],[Age]]&lt;45,"35-44","45+")))</f>
        <v>25-34</v>
      </c>
      <c r="K28" t="str">
        <f>IF(Table1[[#This Row],[Monthly_Income]]&lt;4000,"Low",IF(Table1[[#This Row],[Monthly_Income]]&lt;7000,"Medium","High"))</f>
        <v>Medium</v>
      </c>
      <c r="L28">
        <f>IF(Table1[[#This Row],[Attrition]]="Yes",1,0)</f>
        <v>0</v>
      </c>
      <c r="M28" t="str">
        <f>IF(Table1[[#This Row],[Years_at_Company]]&lt;2,"0-2 Years",IF(Table1[[#This Row],[Years_at_Company]]&lt;=5,"3-5 Years",IF(Table1[[#This Row],[Years_at_Company]]&lt;=10,"6-10 Years","10+ Years")))</f>
        <v>3-5 Years</v>
      </c>
    </row>
    <row r="29" spans="1:13" x14ac:dyDescent="0.3">
      <c r="A29" t="s">
        <v>188</v>
      </c>
      <c r="B29">
        <v>43</v>
      </c>
      <c r="C29" t="s">
        <v>7</v>
      </c>
      <c r="D29" t="s">
        <v>2</v>
      </c>
      <c r="E29" t="s">
        <v>16</v>
      </c>
      <c r="F29">
        <v>6900</v>
      </c>
      <c r="G29">
        <v>4</v>
      </c>
      <c r="H29">
        <v>12</v>
      </c>
      <c r="I29" t="s">
        <v>0</v>
      </c>
      <c r="J29" t="str">
        <f>IF(Table1[[#This Row],[Age]]&lt;25,"Below 25",IF(Table1[[#This Row],[Age]]&lt;35,"25-34",IF(Table1[[#This Row],[Age]]&lt;45,"35-44","45+")))</f>
        <v>35-44</v>
      </c>
      <c r="K29" t="str">
        <f>IF(Table1[[#This Row],[Monthly_Income]]&lt;4000,"Low",IF(Table1[[#This Row],[Monthly_Income]]&lt;7000,"Medium","High"))</f>
        <v>Medium</v>
      </c>
      <c r="L29">
        <f>IF(Table1[[#This Row],[Attrition]]="Yes",1,0)</f>
        <v>0</v>
      </c>
      <c r="M29" t="str">
        <f>IF(Table1[[#This Row],[Years_at_Company]]&lt;2,"0-2 Years",IF(Table1[[#This Row],[Years_at_Company]]&lt;=5,"3-5 Years",IF(Table1[[#This Row],[Years_at_Company]]&lt;=10,"6-10 Years","10+ Years")))</f>
        <v>10+ Years</v>
      </c>
    </row>
    <row r="30" spans="1:13" x14ac:dyDescent="0.3">
      <c r="A30" t="s">
        <v>187</v>
      </c>
      <c r="B30">
        <v>22</v>
      </c>
      <c r="C30" t="s">
        <v>7</v>
      </c>
      <c r="D30" t="s">
        <v>14</v>
      </c>
      <c r="E30" t="s">
        <v>13</v>
      </c>
      <c r="F30">
        <v>2900</v>
      </c>
      <c r="G30">
        <v>1</v>
      </c>
      <c r="H30">
        <v>1</v>
      </c>
      <c r="I30" t="s">
        <v>12</v>
      </c>
      <c r="J30" t="str">
        <f>IF(Table1[[#This Row],[Age]]&lt;25,"Below 25",IF(Table1[[#This Row],[Age]]&lt;35,"25-34",IF(Table1[[#This Row],[Age]]&lt;45,"35-44","45+")))</f>
        <v>Below 25</v>
      </c>
      <c r="K30" t="str">
        <f>IF(Table1[[#This Row],[Monthly_Income]]&lt;4000,"Low",IF(Table1[[#This Row],[Monthly_Income]]&lt;7000,"Medium","High"))</f>
        <v>Low</v>
      </c>
      <c r="L30">
        <f>IF(Table1[[#This Row],[Attrition]]="Yes",1,0)</f>
        <v>1</v>
      </c>
      <c r="M30" t="str">
        <f>IF(Table1[[#This Row],[Years_at_Company]]&lt;2,"0-2 Years",IF(Table1[[#This Row],[Years_at_Company]]&lt;=5,"3-5 Years",IF(Table1[[#This Row],[Years_at_Company]]&lt;=10,"6-10 Years","10+ Years")))</f>
        <v>0-2 Years</v>
      </c>
    </row>
    <row r="31" spans="1:13" x14ac:dyDescent="0.3">
      <c r="A31" t="s">
        <v>186</v>
      </c>
      <c r="B31">
        <v>37</v>
      </c>
      <c r="C31" t="s">
        <v>3</v>
      </c>
      <c r="D31" t="s">
        <v>10</v>
      </c>
      <c r="E31" t="s">
        <v>20</v>
      </c>
      <c r="F31">
        <v>6300</v>
      </c>
      <c r="G31">
        <v>3</v>
      </c>
      <c r="H31">
        <v>8</v>
      </c>
      <c r="I31" t="s">
        <v>0</v>
      </c>
      <c r="J31" t="str">
        <f>IF(Table1[[#This Row],[Age]]&lt;25,"Below 25",IF(Table1[[#This Row],[Age]]&lt;35,"25-34",IF(Table1[[#This Row],[Age]]&lt;45,"35-44","45+")))</f>
        <v>35-44</v>
      </c>
      <c r="K31" t="str">
        <f>IF(Table1[[#This Row],[Monthly_Income]]&lt;4000,"Low",IF(Table1[[#This Row],[Monthly_Income]]&lt;7000,"Medium","High"))</f>
        <v>Medium</v>
      </c>
      <c r="L31">
        <f>IF(Table1[[#This Row],[Attrition]]="Yes",1,0)</f>
        <v>0</v>
      </c>
      <c r="M31" t="str">
        <f>IF(Table1[[#This Row],[Years_at_Company]]&lt;2,"0-2 Years",IF(Table1[[#This Row],[Years_at_Company]]&lt;=5,"3-5 Years",IF(Table1[[#This Row],[Years_at_Company]]&lt;=10,"6-10 Years","10+ Years")))</f>
        <v>6-10 Years</v>
      </c>
    </row>
    <row r="32" spans="1:13" x14ac:dyDescent="0.3">
      <c r="A32" t="s">
        <v>185</v>
      </c>
      <c r="B32">
        <v>28</v>
      </c>
      <c r="C32" t="s">
        <v>7</v>
      </c>
      <c r="D32" t="s">
        <v>6</v>
      </c>
      <c r="E32" t="s">
        <v>5</v>
      </c>
      <c r="F32">
        <v>4300</v>
      </c>
      <c r="G32">
        <v>3</v>
      </c>
      <c r="H32">
        <v>3</v>
      </c>
      <c r="I32" t="s">
        <v>0</v>
      </c>
      <c r="J32" t="str">
        <f>IF(Table1[[#This Row],[Age]]&lt;25,"Below 25",IF(Table1[[#This Row],[Age]]&lt;35,"25-34",IF(Table1[[#This Row],[Age]]&lt;45,"35-44","45+")))</f>
        <v>25-34</v>
      </c>
      <c r="K32" t="str">
        <f>IF(Table1[[#This Row],[Monthly_Income]]&lt;4000,"Low",IF(Table1[[#This Row],[Monthly_Income]]&lt;7000,"Medium","High"))</f>
        <v>Medium</v>
      </c>
      <c r="L32">
        <f>IF(Table1[[#This Row],[Attrition]]="Yes",1,0)</f>
        <v>0</v>
      </c>
      <c r="M32" t="str">
        <f>IF(Table1[[#This Row],[Years_at_Company]]&lt;2,"0-2 Years",IF(Table1[[#This Row],[Years_at_Company]]&lt;=5,"3-5 Years",IF(Table1[[#This Row],[Years_at_Company]]&lt;=10,"6-10 Years","10+ Years")))</f>
        <v>3-5 Years</v>
      </c>
    </row>
    <row r="33" spans="1:13" x14ac:dyDescent="0.3">
      <c r="A33" t="s">
        <v>184</v>
      </c>
      <c r="B33">
        <v>46</v>
      </c>
      <c r="C33" t="s">
        <v>3</v>
      </c>
      <c r="D33" t="s">
        <v>2</v>
      </c>
      <c r="E33" t="s">
        <v>1</v>
      </c>
      <c r="F33">
        <v>8500</v>
      </c>
      <c r="G33">
        <v>4</v>
      </c>
      <c r="H33">
        <v>14</v>
      </c>
      <c r="I33" t="s">
        <v>0</v>
      </c>
      <c r="J33" t="str">
        <f>IF(Table1[[#This Row],[Age]]&lt;25,"Below 25",IF(Table1[[#This Row],[Age]]&lt;35,"25-34",IF(Table1[[#This Row],[Age]]&lt;45,"35-44","45+")))</f>
        <v>45+</v>
      </c>
      <c r="K33" t="str">
        <f>IF(Table1[[#This Row],[Monthly_Income]]&lt;4000,"Low",IF(Table1[[#This Row],[Monthly_Income]]&lt;7000,"Medium","High"))</f>
        <v>High</v>
      </c>
      <c r="L33">
        <f>IF(Table1[[#This Row],[Attrition]]="Yes",1,0)</f>
        <v>0</v>
      </c>
      <c r="M33" t="str">
        <f>IF(Table1[[#This Row],[Years_at_Company]]&lt;2,"0-2 Years",IF(Table1[[#This Row],[Years_at_Company]]&lt;=5,"3-5 Years",IF(Table1[[#This Row],[Years_at_Company]]&lt;=10,"6-10 Years","10+ Years")))</f>
        <v>10+ Years</v>
      </c>
    </row>
    <row r="34" spans="1:13" x14ac:dyDescent="0.3">
      <c r="A34" t="s">
        <v>183</v>
      </c>
      <c r="B34">
        <v>26</v>
      </c>
      <c r="C34" t="s">
        <v>3</v>
      </c>
      <c r="D34" t="s">
        <v>14</v>
      </c>
      <c r="E34" t="s">
        <v>13</v>
      </c>
      <c r="F34">
        <v>3400</v>
      </c>
      <c r="G34">
        <v>2</v>
      </c>
      <c r="H34">
        <v>2</v>
      </c>
      <c r="I34" t="s">
        <v>12</v>
      </c>
      <c r="J34" t="str">
        <f>IF(Table1[[#This Row],[Age]]&lt;25,"Below 25",IF(Table1[[#This Row],[Age]]&lt;35,"25-34",IF(Table1[[#This Row],[Age]]&lt;45,"35-44","45+")))</f>
        <v>25-34</v>
      </c>
      <c r="K34" t="str">
        <f>IF(Table1[[#This Row],[Monthly_Income]]&lt;4000,"Low",IF(Table1[[#This Row],[Monthly_Income]]&lt;7000,"Medium","High"))</f>
        <v>Low</v>
      </c>
      <c r="L34">
        <f>IF(Table1[[#This Row],[Attrition]]="Yes",1,0)</f>
        <v>1</v>
      </c>
      <c r="M34" t="str">
        <f>IF(Table1[[#This Row],[Years_at_Company]]&lt;2,"0-2 Years",IF(Table1[[#This Row],[Years_at_Company]]&lt;=5,"3-5 Years",IF(Table1[[#This Row],[Years_at_Company]]&lt;=10,"6-10 Years","10+ Years")))</f>
        <v>3-5 Years</v>
      </c>
    </row>
    <row r="35" spans="1:13" x14ac:dyDescent="0.3">
      <c r="A35" t="s">
        <v>182</v>
      </c>
      <c r="B35">
        <v>34</v>
      </c>
      <c r="C35" t="s">
        <v>7</v>
      </c>
      <c r="D35" t="s">
        <v>10</v>
      </c>
      <c r="E35" t="s">
        <v>9</v>
      </c>
      <c r="F35">
        <v>6100</v>
      </c>
      <c r="G35">
        <v>4</v>
      </c>
      <c r="H35">
        <v>6</v>
      </c>
      <c r="I35" t="s">
        <v>0</v>
      </c>
      <c r="J35" t="str">
        <f>IF(Table1[[#This Row],[Age]]&lt;25,"Below 25",IF(Table1[[#This Row],[Age]]&lt;35,"25-34",IF(Table1[[#This Row],[Age]]&lt;45,"35-44","45+")))</f>
        <v>25-34</v>
      </c>
      <c r="K35" t="str">
        <f>IF(Table1[[#This Row],[Monthly_Income]]&lt;4000,"Low",IF(Table1[[#This Row],[Monthly_Income]]&lt;7000,"Medium","High"))</f>
        <v>Medium</v>
      </c>
      <c r="L35">
        <f>IF(Table1[[#This Row],[Attrition]]="Yes",1,0)</f>
        <v>0</v>
      </c>
      <c r="M35" t="str">
        <f>IF(Table1[[#This Row],[Years_at_Company]]&lt;2,"0-2 Years",IF(Table1[[#This Row],[Years_at_Company]]&lt;=5,"3-5 Years",IF(Table1[[#This Row],[Years_at_Company]]&lt;=10,"6-10 Years","10+ Years")))</f>
        <v>6-10 Years</v>
      </c>
    </row>
    <row r="36" spans="1:13" x14ac:dyDescent="0.3">
      <c r="A36" t="s">
        <v>181</v>
      </c>
      <c r="B36">
        <v>30</v>
      </c>
      <c r="C36" t="s">
        <v>3</v>
      </c>
      <c r="D36" t="s">
        <v>6</v>
      </c>
      <c r="E36" t="s">
        <v>18</v>
      </c>
      <c r="F36">
        <v>4400</v>
      </c>
      <c r="G36">
        <v>3</v>
      </c>
      <c r="H36">
        <v>4</v>
      </c>
      <c r="I36" t="s">
        <v>0</v>
      </c>
      <c r="J36" t="str">
        <f>IF(Table1[[#This Row],[Age]]&lt;25,"Below 25",IF(Table1[[#This Row],[Age]]&lt;35,"25-34",IF(Table1[[#This Row],[Age]]&lt;45,"35-44","45+")))</f>
        <v>25-34</v>
      </c>
      <c r="K36" t="str">
        <f>IF(Table1[[#This Row],[Monthly_Income]]&lt;4000,"Low",IF(Table1[[#This Row],[Monthly_Income]]&lt;7000,"Medium","High"))</f>
        <v>Medium</v>
      </c>
      <c r="L36">
        <f>IF(Table1[[#This Row],[Attrition]]="Yes",1,0)</f>
        <v>0</v>
      </c>
      <c r="M36" t="str">
        <f>IF(Table1[[#This Row],[Years_at_Company]]&lt;2,"0-2 Years",IF(Table1[[#This Row],[Years_at_Company]]&lt;=5,"3-5 Years",IF(Table1[[#This Row],[Years_at_Company]]&lt;=10,"6-10 Years","10+ Years")))</f>
        <v>3-5 Years</v>
      </c>
    </row>
    <row r="37" spans="1:13" x14ac:dyDescent="0.3">
      <c r="A37" t="s">
        <v>180</v>
      </c>
      <c r="B37">
        <v>42</v>
      </c>
      <c r="C37" t="s">
        <v>7</v>
      </c>
      <c r="D37" t="s">
        <v>2</v>
      </c>
      <c r="E37" t="s">
        <v>23</v>
      </c>
      <c r="F37">
        <v>7600</v>
      </c>
      <c r="G37">
        <v>4</v>
      </c>
      <c r="H37">
        <v>11</v>
      </c>
      <c r="I37" t="s">
        <v>0</v>
      </c>
      <c r="J37" t="str">
        <f>IF(Table1[[#This Row],[Age]]&lt;25,"Below 25",IF(Table1[[#This Row],[Age]]&lt;35,"25-34",IF(Table1[[#This Row],[Age]]&lt;45,"35-44","45+")))</f>
        <v>35-44</v>
      </c>
      <c r="K37" t="str">
        <f>IF(Table1[[#This Row],[Monthly_Income]]&lt;4000,"Low",IF(Table1[[#This Row],[Monthly_Income]]&lt;7000,"Medium","High"))</f>
        <v>High</v>
      </c>
      <c r="L37">
        <f>IF(Table1[[#This Row],[Attrition]]="Yes",1,0)</f>
        <v>0</v>
      </c>
      <c r="M37" t="str">
        <f>IF(Table1[[#This Row],[Years_at_Company]]&lt;2,"0-2 Years",IF(Table1[[#This Row],[Years_at_Company]]&lt;=5,"3-5 Years",IF(Table1[[#This Row],[Years_at_Company]]&lt;=10,"6-10 Years","10+ Years")))</f>
        <v>10+ Years</v>
      </c>
    </row>
    <row r="38" spans="1:13" x14ac:dyDescent="0.3">
      <c r="A38" t="s">
        <v>179</v>
      </c>
      <c r="B38">
        <v>25</v>
      </c>
      <c r="C38" t="s">
        <v>7</v>
      </c>
      <c r="D38" t="s">
        <v>14</v>
      </c>
      <c r="E38" t="s">
        <v>13</v>
      </c>
      <c r="F38">
        <v>3100</v>
      </c>
      <c r="G38">
        <v>2</v>
      </c>
      <c r="H38">
        <v>1</v>
      </c>
      <c r="I38" t="s">
        <v>12</v>
      </c>
      <c r="J38" t="str">
        <f>IF(Table1[[#This Row],[Age]]&lt;25,"Below 25",IF(Table1[[#This Row],[Age]]&lt;35,"25-34",IF(Table1[[#This Row],[Age]]&lt;45,"35-44","45+")))</f>
        <v>25-34</v>
      </c>
      <c r="K38" t="str">
        <f>IF(Table1[[#This Row],[Monthly_Income]]&lt;4000,"Low",IF(Table1[[#This Row],[Monthly_Income]]&lt;7000,"Medium","High"))</f>
        <v>Low</v>
      </c>
      <c r="L38">
        <f>IF(Table1[[#This Row],[Attrition]]="Yes",1,0)</f>
        <v>1</v>
      </c>
      <c r="M38" t="str">
        <f>IF(Table1[[#This Row],[Years_at_Company]]&lt;2,"0-2 Years",IF(Table1[[#This Row],[Years_at_Company]]&lt;=5,"3-5 Years",IF(Table1[[#This Row],[Years_at_Company]]&lt;=10,"6-10 Years","10+ Years")))</f>
        <v>0-2 Years</v>
      </c>
    </row>
    <row r="39" spans="1:13" x14ac:dyDescent="0.3">
      <c r="A39" t="s">
        <v>178</v>
      </c>
      <c r="B39">
        <v>39</v>
      </c>
      <c r="C39" t="s">
        <v>3</v>
      </c>
      <c r="D39" t="s">
        <v>10</v>
      </c>
      <c r="E39" t="s">
        <v>20</v>
      </c>
      <c r="F39">
        <v>6700</v>
      </c>
      <c r="G39">
        <v>3</v>
      </c>
      <c r="H39">
        <v>9</v>
      </c>
      <c r="I39" t="s">
        <v>0</v>
      </c>
      <c r="J39" t="str">
        <f>IF(Table1[[#This Row],[Age]]&lt;25,"Below 25",IF(Table1[[#This Row],[Age]]&lt;35,"25-34",IF(Table1[[#This Row],[Age]]&lt;45,"35-44","45+")))</f>
        <v>35-44</v>
      </c>
      <c r="K39" t="str">
        <f>IF(Table1[[#This Row],[Monthly_Income]]&lt;4000,"Low",IF(Table1[[#This Row],[Monthly_Income]]&lt;7000,"Medium","High"))</f>
        <v>Medium</v>
      </c>
      <c r="L39">
        <f>IF(Table1[[#This Row],[Attrition]]="Yes",1,0)</f>
        <v>0</v>
      </c>
      <c r="M39" t="str">
        <f>IF(Table1[[#This Row],[Years_at_Company]]&lt;2,"0-2 Years",IF(Table1[[#This Row],[Years_at_Company]]&lt;=5,"3-5 Years",IF(Table1[[#This Row],[Years_at_Company]]&lt;=10,"6-10 Years","10+ Years")))</f>
        <v>6-10 Years</v>
      </c>
    </row>
    <row r="40" spans="1:13" x14ac:dyDescent="0.3">
      <c r="A40" t="s">
        <v>177</v>
      </c>
      <c r="B40">
        <v>33</v>
      </c>
      <c r="C40" t="s">
        <v>7</v>
      </c>
      <c r="D40" t="s">
        <v>6</v>
      </c>
      <c r="E40" t="s">
        <v>5</v>
      </c>
      <c r="F40">
        <v>4700</v>
      </c>
      <c r="G40">
        <v>4</v>
      </c>
      <c r="H40">
        <v>6</v>
      </c>
      <c r="I40" t="s">
        <v>0</v>
      </c>
      <c r="J40" t="str">
        <f>IF(Table1[[#This Row],[Age]]&lt;25,"Below 25",IF(Table1[[#This Row],[Age]]&lt;35,"25-34",IF(Table1[[#This Row],[Age]]&lt;45,"35-44","45+")))</f>
        <v>25-34</v>
      </c>
      <c r="K40" t="str">
        <f>IF(Table1[[#This Row],[Monthly_Income]]&lt;4000,"Low",IF(Table1[[#This Row],[Monthly_Income]]&lt;7000,"Medium","High"))</f>
        <v>Medium</v>
      </c>
      <c r="L40">
        <f>IF(Table1[[#This Row],[Attrition]]="Yes",1,0)</f>
        <v>0</v>
      </c>
      <c r="M40" t="str">
        <f>IF(Table1[[#This Row],[Years_at_Company]]&lt;2,"0-2 Years",IF(Table1[[#This Row],[Years_at_Company]]&lt;=5,"3-5 Years",IF(Table1[[#This Row],[Years_at_Company]]&lt;=10,"6-10 Years","10+ Years")))</f>
        <v>6-10 Years</v>
      </c>
    </row>
    <row r="41" spans="1:13" x14ac:dyDescent="0.3">
      <c r="A41" t="s">
        <v>176</v>
      </c>
      <c r="B41">
        <v>48</v>
      </c>
      <c r="C41" t="s">
        <v>3</v>
      </c>
      <c r="D41" t="s">
        <v>2</v>
      </c>
      <c r="E41" t="s">
        <v>16</v>
      </c>
      <c r="F41">
        <v>7100</v>
      </c>
      <c r="G41">
        <v>3</v>
      </c>
      <c r="H41">
        <v>16</v>
      </c>
      <c r="I41" t="s">
        <v>0</v>
      </c>
      <c r="J41" t="str">
        <f>IF(Table1[[#This Row],[Age]]&lt;25,"Below 25",IF(Table1[[#This Row],[Age]]&lt;35,"25-34",IF(Table1[[#This Row],[Age]]&lt;45,"35-44","45+")))</f>
        <v>45+</v>
      </c>
      <c r="K41" t="str">
        <f>IF(Table1[[#This Row],[Monthly_Income]]&lt;4000,"Low",IF(Table1[[#This Row],[Monthly_Income]]&lt;7000,"Medium","High"))</f>
        <v>High</v>
      </c>
      <c r="L41">
        <f>IF(Table1[[#This Row],[Attrition]]="Yes",1,0)</f>
        <v>0</v>
      </c>
      <c r="M41" t="str">
        <f>IF(Table1[[#This Row],[Years_at_Company]]&lt;2,"0-2 Years",IF(Table1[[#This Row],[Years_at_Company]]&lt;=5,"3-5 Years",IF(Table1[[#This Row],[Years_at_Company]]&lt;=10,"6-10 Years","10+ Years")))</f>
        <v>10+ Years</v>
      </c>
    </row>
    <row r="42" spans="1:13" x14ac:dyDescent="0.3">
      <c r="A42" t="s">
        <v>175</v>
      </c>
      <c r="B42">
        <v>27</v>
      </c>
      <c r="C42" t="s">
        <v>7</v>
      </c>
      <c r="D42" t="s">
        <v>14</v>
      </c>
      <c r="E42" t="s">
        <v>13</v>
      </c>
      <c r="F42">
        <v>3500</v>
      </c>
      <c r="G42">
        <v>2</v>
      </c>
      <c r="H42">
        <v>2</v>
      </c>
      <c r="I42" t="s">
        <v>12</v>
      </c>
      <c r="J42" t="str">
        <f>IF(Table1[[#This Row],[Age]]&lt;25,"Below 25",IF(Table1[[#This Row],[Age]]&lt;35,"25-34",IF(Table1[[#This Row],[Age]]&lt;45,"35-44","45+")))</f>
        <v>25-34</v>
      </c>
      <c r="K42" t="str">
        <f>IF(Table1[[#This Row],[Monthly_Income]]&lt;4000,"Low",IF(Table1[[#This Row],[Monthly_Income]]&lt;7000,"Medium","High"))</f>
        <v>Low</v>
      </c>
      <c r="L42">
        <f>IF(Table1[[#This Row],[Attrition]]="Yes",1,0)</f>
        <v>1</v>
      </c>
      <c r="M42" t="str">
        <f>IF(Table1[[#This Row],[Years_at_Company]]&lt;2,"0-2 Years",IF(Table1[[#This Row],[Years_at_Company]]&lt;=5,"3-5 Years",IF(Table1[[#This Row],[Years_at_Company]]&lt;=10,"6-10 Years","10+ Years")))</f>
        <v>3-5 Years</v>
      </c>
    </row>
    <row r="43" spans="1:13" x14ac:dyDescent="0.3">
      <c r="A43" t="s">
        <v>174</v>
      </c>
      <c r="B43">
        <v>36</v>
      </c>
      <c r="C43" t="s">
        <v>3</v>
      </c>
      <c r="D43" t="s">
        <v>10</v>
      </c>
      <c r="E43" t="s">
        <v>9</v>
      </c>
      <c r="F43">
        <v>6200</v>
      </c>
      <c r="G43">
        <v>4</v>
      </c>
      <c r="H43">
        <v>7</v>
      </c>
      <c r="I43" t="s">
        <v>0</v>
      </c>
      <c r="J43" t="str">
        <f>IF(Table1[[#This Row],[Age]]&lt;25,"Below 25",IF(Table1[[#This Row],[Age]]&lt;35,"25-34",IF(Table1[[#This Row],[Age]]&lt;45,"35-44","45+")))</f>
        <v>35-44</v>
      </c>
      <c r="K43" t="str">
        <f>IF(Table1[[#This Row],[Monthly_Income]]&lt;4000,"Low",IF(Table1[[#This Row],[Monthly_Income]]&lt;7000,"Medium","High"))</f>
        <v>Medium</v>
      </c>
      <c r="L43">
        <f>IF(Table1[[#This Row],[Attrition]]="Yes",1,0)</f>
        <v>0</v>
      </c>
      <c r="M43" t="str">
        <f>IF(Table1[[#This Row],[Years_at_Company]]&lt;2,"0-2 Years",IF(Table1[[#This Row],[Years_at_Company]]&lt;=5,"3-5 Years",IF(Table1[[#This Row],[Years_at_Company]]&lt;=10,"6-10 Years","10+ Years")))</f>
        <v>6-10 Years</v>
      </c>
    </row>
    <row r="44" spans="1:13" x14ac:dyDescent="0.3">
      <c r="A44" t="s">
        <v>173</v>
      </c>
      <c r="B44">
        <v>29</v>
      </c>
      <c r="C44" t="s">
        <v>3</v>
      </c>
      <c r="D44" t="s">
        <v>6</v>
      </c>
      <c r="E44" t="s">
        <v>18</v>
      </c>
      <c r="F44">
        <v>4500</v>
      </c>
      <c r="G44">
        <v>3</v>
      </c>
      <c r="H44">
        <v>4</v>
      </c>
      <c r="I44" t="s">
        <v>0</v>
      </c>
      <c r="J44" t="str">
        <f>IF(Table1[[#This Row],[Age]]&lt;25,"Below 25",IF(Table1[[#This Row],[Age]]&lt;35,"25-34",IF(Table1[[#This Row],[Age]]&lt;45,"35-44","45+")))</f>
        <v>25-34</v>
      </c>
      <c r="K44" t="str">
        <f>IF(Table1[[#This Row],[Monthly_Income]]&lt;4000,"Low",IF(Table1[[#This Row],[Monthly_Income]]&lt;7000,"Medium","High"))</f>
        <v>Medium</v>
      </c>
      <c r="L44">
        <f>IF(Table1[[#This Row],[Attrition]]="Yes",1,0)</f>
        <v>0</v>
      </c>
      <c r="M44" t="str">
        <f>IF(Table1[[#This Row],[Years_at_Company]]&lt;2,"0-2 Years",IF(Table1[[#This Row],[Years_at_Company]]&lt;=5,"3-5 Years",IF(Table1[[#This Row],[Years_at_Company]]&lt;=10,"6-10 Years","10+ Years")))</f>
        <v>3-5 Years</v>
      </c>
    </row>
    <row r="45" spans="1:13" x14ac:dyDescent="0.3">
      <c r="A45" t="s">
        <v>172</v>
      </c>
      <c r="B45">
        <v>44</v>
      </c>
      <c r="C45" t="s">
        <v>7</v>
      </c>
      <c r="D45" t="s">
        <v>2</v>
      </c>
      <c r="E45" t="s">
        <v>23</v>
      </c>
      <c r="F45">
        <v>7400</v>
      </c>
      <c r="G45">
        <v>4</v>
      </c>
      <c r="H45">
        <v>12</v>
      </c>
      <c r="I45" t="s">
        <v>0</v>
      </c>
      <c r="J45" t="str">
        <f>IF(Table1[[#This Row],[Age]]&lt;25,"Below 25",IF(Table1[[#This Row],[Age]]&lt;35,"25-34",IF(Table1[[#This Row],[Age]]&lt;45,"35-44","45+")))</f>
        <v>35-44</v>
      </c>
      <c r="K45" t="str">
        <f>IF(Table1[[#This Row],[Monthly_Income]]&lt;4000,"Low",IF(Table1[[#This Row],[Monthly_Income]]&lt;7000,"Medium","High"))</f>
        <v>High</v>
      </c>
      <c r="L45">
        <f>IF(Table1[[#This Row],[Attrition]]="Yes",1,0)</f>
        <v>0</v>
      </c>
      <c r="M45" t="str">
        <f>IF(Table1[[#This Row],[Years_at_Company]]&lt;2,"0-2 Years",IF(Table1[[#This Row],[Years_at_Company]]&lt;=5,"3-5 Years",IF(Table1[[#This Row],[Years_at_Company]]&lt;=10,"6-10 Years","10+ Years")))</f>
        <v>10+ Years</v>
      </c>
    </row>
    <row r="46" spans="1:13" x14ac:dyDescent="0.3">
      <c r="A46" t="s">
        <v>171</v>
      </c>
      <c r="B46">
        <v>23</v>
      </c>
      <c r="C46" t="s">
        <v>7</v>
      </c>
      <c r="D46" t="s">
        <v>14</v>
      </c>
      <c r="E46" t="s">
        <v>13</v>
      </c>
      <c r="F46">
        <v>3000</v>
      </c>
      <c r="G46">
        <v>1</v>
      </c>
      <c r="H46">
        <v>1</v>
      </c>
      <c r="I46" t="s">
        <v>12</v>
      </c>
      <c r="J46" t="str">
        <f>IF(Table1[[#This Row],[Age]]&lt;25,"Below 25",IF(Table1[[#This Row],[Age]]&lt;35,"25-34",IF(Table1[[#This Row],[Age]]&lt;45,"35-44","45+")))</f>
        <v>Below 25</v>
      </c>
      <c r="K46" t="str">
        <f>IF(Table1[[#This Row],[Monthly_Income]]&lt;4000,"Low",IF(Table1[[#This Row],[Monthly_Income]]&lt;7000,"Medium","High"))</f>
        <v>Low</v>
      </c>
      <c r="L46">
        <f>IF(Table1[[#This Row],[Attrition]]="Yes",1,0)</f>
        <v>1</v>
      </c>
      <c r="M46" t="str">
        <f>IF(Table1[[#This Row],[Years_at_Company]]&lt;2,"0-2 Years",IF(Table1[[#This Row],[Years_at_Company]]&lt;=5,"3-5 Years",IF(Table1[[#This Row],[Years_at_Company]]&lt;=10,"6-10 Years","10+ Years")))</f>
        <v>0-2 Years</v>
      </c>
    </row>
    <row r="47" spans="1:13" x14ac:dyDescent="0.3">
      <c r="A47" t="s">
        <v>170</v>
      </c>
      <c r="B47">
        <v>31</v>
      </c>
      <c r="C47" t="s">
        <v>3</v>
      </c>
      <c r="D47" t="s">
        <v>10</v>
      </c>
      <c r="E47" t="s">
        <v>20</v>
      </c>
      <c r="F47">
        <v>5700</v>
      </c>
      <c r="G47">
        <v>3</v>
      </c>
      <c r="H47">
        <v>5</v>
      </c>
      <c r="I47" t="s">
        <v>0</v>
      </c>
      <c r="J47" t="str">
        <f>IF(Table1[[#This Row],[Age]]&lt;25,"Below 25",IF(Table1[[#This Row],[Age]]&lt;35,"25-34",IF(Table1[[#This Row],[Age]]&lt;45,"35-44","45+")))</f>
        <v>25-34</v>
      </c>
      <c r="K47" t="str">
        <f>IF(Table1[[#This Row],[Monthly_Income]]&lt;4000,"Low",IF(Table1[[#This Row],[Monthly_Income]]&lt;7000,"Medium","High"))</f>
        <v>Medium</v>
      </c>
      <c r="L47">
        <f>IF(Table1[[#This Row],[Attrition]]="Yes",1,0)</f>
        <v>0</v>
      </c>
      <c r="M47" t="str">
        <f>IF(Table1[[#This Row],[Years_at_Company]]&lt;2,"0-2 Years",IF(Table1[[#This Row],[Years_at_Company]]&lt;=5,"3-5 Years",IF(Table1[[#This Row],[Years_at_Company]]&lt;=10,"6-10 Years","10+ Years")))</f>
        <v>3-5 Years</v>
      </c>
    </row>
    <row r="48" spans="1:13" x14ac:dyDescent="0.3">
      <c r="A48" t="s">
        <v>169</v>
      </c>
      <c r="B48">
        <v>38</v>
      </c>
      <c r="C48" t="s">
        <v>7</v>
      </c>
      <c r="D48" t="s">
        <v>6</v>
      </c>
      <c r="E48" t="s">
        <v>5</v>
      </c>
      <c r="F48">
        <v>5000</v>
      </c>
      <c r="G48">
        <v>4</v>
      </c>
      <c r="H48">
        <v>9</v>
      </c>
      <c r="I48" t="s">
        <v>0</v>
      </c>
      <c r="J48" t="str">
        <f>IF(Table1[[#This Row],[Age]]&lt;25,"Below 25",IF(Table1[[#This Row],[Age]]&lt;35,"25-34",IF(Table1[[#This Row],[Age]]&lt;45,"35-44","45+")))</f>
        <v>35-44</v>
      </c>
      <c r="K48" t="str">
        <f>IF(Table1[[#This Row],[Monthly_Income]]&lt;4000,"Low",IF(Table1[[#This Row],[Monthly_Income]]&lt;7000,"Medium","High"))</f>
        <v>Medium</v>
      </c>
      <c r="L48">
        <f>IF(Table1[[#This Row],[Attrition]]="Yes",1,0)</f>
        <v>0</v>
      </c>
      <c r="M48" t="str">
        <f>IF(Table1[[#This Row],[Years_at_Company]]&lt;2,"0-2 Years",IF(Table1[[#This Row],[Years_at_Company]]&lt;=5,"3-5 Years",IF(Table1[[#This Row],[Years_at_Company]]&lt;=10,"6-10 Years","10+ Years")))</f>
        <v>6-10 Years</v>
      </c>
    </row>
    <row r="49" spans="1:13" x14ac:dyDescent="0.3">
      <c r="A49" t="s">
        <v>168</v>
      </c>
      <c r="B49">
        <v>40</v>
      </c>
      <c r="C49" t="s">
        <v>3</v>
      </c>
      <c r="D49" t="s">
        <v>2</v>
      </c>
      <c r="E49" t="s">
        <v>16</v>
      </c>
      <c r="F49">
        <v>6800</v>
      </c>
      <c r="G49">
        <v>3</v>
      </c>
      <c r="H49">
        <v>10</v>
      </c>
      <c r="I49" t="s">
        <v>0</v>
      </c>
      <c r="J49" t="str">
        <f>IF(Table1[[#This Row],[Age]]&lt;25,"Below 25",IF(Table1[[#This Row],[Age]]&lt;35,"25-34",IF(Table1[[#This Row],[Age]]&lt;45,"35-44","45+")))</f>
        <v>35-44</v>
      </c>
      <c r="K49" t="str">
        <f>IF(Table1[[#This Row],[Monthly_Income]]&lt;4000,"Low",IF(Table1[[#This Row],[Monthly_Income]]&lt;7000,"Medium","High"))</f>
        <v>Medium</v>
      </c>
      <c r="L49">
        <f>IF(Table1[[#This Row],[Attrition]]="Yes",1,0)</f>
        <v>0</v>
      </c>
      <c r="M49" t="str">
        <f>IF(Table1[[#This Row],[Years_at_Company]]&lt;2,"0-2 Years",IF(Table1[[#This Row],[Years_at_Company]]&lt;=5,"3-5 Years",IF(Table1[[#This Row],[Years_at_Company]]&lt;=10,"6-10 Years","10+ Years")))</f>
        <v>6-10 Years</v>
      </c>
    </row>
    <row r="50" spans="1:13" x14ac:dyDescent="0.3">
      <c r="A50" t="s">
        <v>167</v>
      </c>
      <c r="B50">
        <v>26</v>
      </c>
      <c r="C50" t="s">
        <v>7</v>
      </c>
      <c r="D50" t="s">
        <v>14</v>
      </c>
      <c r="E50" t="s">
        <v>13</v>
      </c>
      <c r="F50">
        <v>3300</v>
      </c>
      <c r="G50">
        <v>2</v>
      </c>
      <c r="H50">
        <v>2</v>
      </c>
      <c r="I50" t="s">
        <v>12</v>
      </c>
      <c r="J50" t="str">
        <f>IF(Table1[[#This Row],[Age]]&lt;25,"Below 25",IF(Table1[[#This Row],[Age]]&lt;35,"25-34",IF(Table1[[#This Row],[Age]]&lt;45,"35-44","45+")))</f>
        <v>25-34</v>
      </c>
      <c r="K50" t="str">
        <f>IF(Table1[[#This Row],[Monthly_Income]]&lt;4000,"Low",IF(Table1[[#This Row],[Monthly_Income]]&lt;7000,"Medium","High"))</f>
        <v>Low</v>
      </c>
      <c r="L50">
        <f>IF(Table1[[#This Row],[Attrition]]="Yes",1,0)</f>
        <v>1</v>
      </c>
      <c r="M50" t="str">
        <f>IF(Table1[[#This Row],[Years_at_Company]]&lt;2,"0-2 Years",IF(Table1[[#This Row],[Years_at_Company]]&lt;=5,"3-5 Years",IF(Table1[[#This Row],[Years_at_Company]]&lt;=10,"6-10 Years","10+ Years")))</f>
        <v>3-5 Years</v>
      </c>
    </row>
    <row r="51" spans="1:13" x14ac:dyDescent="0.3">
      <c r="A51" t="s">
        <v>166</v>
      </c>
      <c r="B51">
        <v>35</v>
      </c>
      <c r="C51" t="s">
        <v>3</v>
      </c>
      <c r="D51" t="s">
        <v>10</v>
      </c>
      <c r="E51" t="s">
        <v>9</v>
      </c>
      <c r="F51">
        <v>6500</v>
      </c>
      <c r="G51">
        <v>4</v>
      </c>
      <c r="H51">
        <v>7</v>
      </c>
      <c r="I51" t="s">
        <v>0</v>
      </c>
      <c r="J51" t="str">
        <f>IF(Table1[[#This Row],[Age]]&lt;25,"Below 25",IF(Table1[[#This Row],[Age]]&lt;35,"25-34",IF(Table1[[#This Row],[Age]]&lt;45,"35-44","45+")))</f>
        <v>35-44</v>
      </c>
      <c r="K51" t="str">
        <f>IF(Table1[[#This Row],[Monthly_Income]]&lt;4000,"Low",IF(Table1[[#This Row],[Monthly_Income]]&lt;7000,"Medium","High"))</f>
        <v>Medium</v>
      </c>
      <c r="L51">
        <f>IF(Table1[[#This Row],[Attrition]]="Yes",1,0)</f>
        <v>0</v>
      </c>
      <c r="M51" t="str">
        <f>IF(Table1[[#This Row],[Years_at_Company]]&lt;2,"0-2 Years",IF(Table1[[#This Row],[Years_at_Company]]&lt;=5,"3-5 Years",IF(Table1[[#This Row],[Years_at_Company]]&lt;=10,"6-10 Years","10+ Years")))</f>
        <v>6-10 Years</v>
      </c>
    </row>
    <row r="52" spans="1:13" x14ac:dyDescent="0.3">
      <c r="A52" t="s">
        <v>165</v>
      </c>
      <c r="B52">
        <v>30</v>
      </c>
      <c r="C52" t="s">
        <v>7</v>
      </c>
      <c r="D52" t="s">
        <v>6</v>
      </c>
      <c r="E52" t="s">
        <v>18</v>
      </c>
      <c r="F52">
        <v>4300</v>
      </c>
      <c r="G52">
        <v>3</v>
      </c>
      <c r="H52">
        <v>4</v>
      </c>
      <c r="I52" t="s">
        <v>0</v>
      </c>
      <c r="J52" t="str">
        <f>IF(Table1[[#This Row],[Age]]&lt;25,"Below 25",IF(Table1[[#This Row],[Age]]&lt;35,"25-34",IF(Table1[[#This Row],[Age]]&lt;45,"35-44","45+")))</f>
        <v>25-34</v>
      </c>
      <c r="K52" t="str">
        <f>IF(Table1[[#This Row],[Monthly_Income]]&lt;4000,"Low",IF(Table1[[#This Row],[Monthly_Income]]&lt;7000,"Medium","High"))</f>
        <v>Medium</v>
      </c>
      <c r="L52">
        <f>IF(Table1[[#This Row],[Attrition]]="Yes",1,0)</f>
        <v>0</v>
      </c>
      <c r="M52" t="str">
        <f>IF(Table1[[#This Row],[Years_at_Company]]&lt;2,"0-2 Years",IF(Table1[[#This Row],[Years_at_Company]]&lt;=5,"3-5 Years",IF(Table1[[#This Row],[Years_at_Company]]&lt;=10,"6-10 Years","10+ Years")))</f>
        <v>3-5 Years</v>
      </c>
    </row>
    <row r="53" spans="1:13" x14ac:dyDescent="0.3">
      <c r="A53" t="s">
        <v>164</v>
      </c>
      <c r="B53">
        <v>45</v>
      </c>
      <c r="C53" t="s">
        <v>3</v>
      </c>
      <c r="D53" t="s">
        <v>2</v>
      </c>
      <c r="E53" t="s">
        <v>1</v>
      </c>
      <c r="F53">
        <v>8800</v>
      </c>
      <c r="G53">
        <v>4</v>
      </c>
      <c r="H53">
        <v>13</v>
      </c>
      <c r="I53" t="s">
        <v>0</v>
      </c>
      <c r="J53" t="str">
        <f>IF(Table1[[#This Row],[Age]]&lt;25,"Below 25",IF(Table1[[#This Row],[Age]]&lt;35,"25-34",IF(Table1[[#This Row],[Age]]&lt;45,"35-44","45+")))</f>
        <v>45+</v>
      </c>
      <c r="K53" t="str">
        <f>IF(Table1[[#This Row],[Monthly_Income]]&lt;4000,"Low",IF(Table1[[#This Row],[Monthly_Income]]&lt;7000,"Medium","High"))</f>
        <v>High</v>
      </c>
      <c r="L53">
        <f>IF(Table1[[#This Row],[Attrition]]="Yes",1,0)</f>
        <v>0</v>
      </c>
      <c r="M53" t="str">
        <f>IF(Table1[[#This Row],[Years_at_Company]]&lt;2,"0-2 Years",IF(Table1[[#This Row],[Years_at_Company]]&lt;=5,"3-5 Years",IF(Table1[[#This Row],[Years_at_Company]]&lt;=10,"6-10 Years","10+ Years")))</f>
        <v>10+ Years</v>
      </c>
    </row>
    <row r="54" spans="1:13" x14ac:dyDescent="0.3">
      <c r="A54" t="s">
        <v>163</v>
      </c>
      <c r="B54">
        <v>24</v>
      </c>
      <c r="C54" t="s">
        <v>3</v>
      </c>
      <c r="D54" t="s">
        <v>14</v>
      </c>
      <c r="E54" t="s">
        <v>13</v>
      </c>
      <c r="F54">
        <v>3100</v>
      </c>
      <c r="G54">
        <v>1</v>
      </c>
      <c r="H54">
        <v>1</v>
      </c>
      <c r="I54" t="s">
        <v>12</v>
      </c>
      <c r="J54" t="str">
        <f>IF(Table1[[#This Row],[Age]]&lt;25,"Below 25",IF(Table1[[#This Row],[Age]]&lt;35,"25-34",IF(Table1[[#This Row],[Age]]&lt;45,"35-44","45+")))</f>
        <v>Below 25</v>
      </c>
      <c r="K54" t="str">
        <f>IF(Table1[[#This Row],[Monthly_Income]]&lt;4000,"Low",IF(Table1[[#This Row],[Monthly_Income]]&lt;7000,"Medium","High"))</f>
        <v>Low</v>
      </c>
      <c r="L54">
        <f>IF(Table1[[#This Row],[Attrition]]="Yes",1,0)</f>
        <v>1</v>
      </c>
      <c r="M54" t="str">
        <f>IF(Table1[[#This Row],[Years_at_Company]]&lt;2,"0-2 Years",IF(Table1[[#This Row],[Years_at_Company]]&lt;=5,"3-5 Years",IF(Table1[[#This Row],[Years_at_Company]]&lt;=10,"6-10 Years","10+ Years")))</f>
        <v>0-2 Years</v>
      </c>
    </row>
    <row r="55" spans="1:13" x14ac:dyDescent="0.3">
      <c r="A55" t="s">
        <v>162</v>
      </c>
      <c r="B55">
        <v>33</v>
      </c>
      <c r="C55" t="s">
        <v>7</v>
      </c>
      <c r="D55" t="s">
        <v>10</v>
      </c>
      <c r="E55" t="s">
        <v>20</v>
      </c>
      <c r="F55">
        <v>6000</v>
      </c>
      <c r="G55">
        <v>3</v>
      </c>
      <c r="H55">
        <v>6</v>
      </c>
      <c r="I55" t="s">
        <v>0</v>
      </c>
      <c r="J55" t="str">
        <f>IF(Table1[[#This Row],[Age]]&lt;25,"Below 25",IF(Table1[[#This Row],[Age]]&lt;35,"25-34",IF(Table1[[#This Row],[Age]]&lt;45,"35-44","45+")))</f>
        <v>25-34</v>
      </c>
      <c r="K55" t="str">
        <f>IF(Table1[[#This Row],[Monthly_Income]]&lt;4000,"Low",IF(Table1[[#This Row],[Monthly_Income]]&lt;7000,"Medium","High"))</f>
        <v>Medium</v>
      </c>
      <c r="L55">
        <f>IF(Table1[[#This Row],[Attrition]]="Yes",1,0)</f>
        <v>0</v>
      </c>
      <c r="M55" t="str">
        <f>IF(Table1[[#This Row],[Years_at_Company]]&lt;2,"0-2 Years",IF(Table1[[#This Row],[Years_at_Company]]&lt;=5,"3-5 Years",IF(Table1[[#This Row],[Years_at_Company]]&lt;=10,"6-10 Years","10+ Years")))</f>
        <v>6-10 Years</v>
      </c>
    </row>
    <row r="56" spans="1:13" x14ac:dyDescent="0.3">
      <c r="A56" t="s">
        <v>161</v>
      </c>
      <c r="B56">
        <v>28</v>
      </c>
      <c r="C56" t="s">
        <v>3</v>
      </c>
      <c r="D56" t="s">
        <v>6</v>
      </c>
      <c r="E56" t="s">
        <v>5</v>
      </c>
      <c r="F56">
        <v>4200</v>
      </c>
      <c r="G56">
        <v>3</v>
      </c>
      <c r="H56">
        <v>3</v>
      </c>
      <c r="I56" t="s">
        <v>0</v>
      </c>
      <c r="J56" t="str">
        <f>IF(Table1[[#This Row],[Age]]&lt;25,"Below 25",IF(Table1[[#This Row],[Age]]&lt;35,"25-34",IF(Table1[[#This Row],[Age]]&lt;45,"35-44","45+")))</f>
        <v>25-34</v>
      </c>
      <c r="K56" t="str">
        <f>IF(Table1[[#This Row],[Monthly_Income]]&lt;4000,"Low",IF(Table1[[#This Row],[Monthly_Income]]&lt;7000,"Medium","High"))</f>
        <v>Medium</v>
      </c>
      <c r="L56">
        <f>IF(Table1[[#This Row],[Attrition]]="Yes",1,0)</f>
        <v>0</v>
      </c>
      <c r="M56" t="str">
        <f>IF(Table1[[#This Row],[Years_at_Company]]&lt;2,"0-2 Years",IF(Table1[[#This Row],[Years_at_Company]]&lt;=5,"3-5 Years",IF(Table1[[#This Row],[Years_at_Company]]&lt;=10,"6-10 Years","10+ Years")))</f>
        <v>3-5 Years</v>
      </c>
    </row>
    <row r="57" spans="1:13" x14ac:dyDescent="0.3">
      <c r="A57" t="s">
        <v>160</v>
      </c>
      <c r="B57">
        <v>41</v>
      </c>
      <c r="C57" t="s">
        <v>7</v>
      </c>
      <c r="D57" t="s">
        <v>2</v>
      </c>
      <c r="E57" t="s">
        <v>23</v>
      </c>
      <c r="F57">
        <v>7200</v>
      </c>
      <c r="G57">
        <v>4</v>
      </c>
      <c r="H57">
        <v>10</v>
      </c>
      <c r="I57" t="s">
        <v>0</v>
      </c>
      <c r="J57" t="str">
        <f>IF(Table1[[#This Row],[Age]]&lt;25,"Below 25",IF(Table1[[#This Row],[Age]]&lt;35,"25-34",IF(Table1[[#This Row],[Age]]&lt;45,"35-44","45+")))</f>
        <v>35-44</v>
      </c>
      <c r="K57" t="str">
        <f>IF(Table1[[#This Row],[Monthly_Income]]&lt;4000,"Low",IF(Table1[[#This Row],[Monthly_Income]]&lt;7000,"Medium","High"))</f>
        <v>High</v>
      </c>
      <c r="L57">
        <f>IF(Table1[[#This Row],[Attrition]]="Yes",1,0)</f>
        <v>0</v>
      </c>
      <c r="M57" t="str">
        <f>IF(Table1[[#This Row],[Years_at_Company]]&lt;2,"0-2 Years",IF(Table1[[#This Row],[Years_at_Company]]&lt;=5,"3-5 Years",IF(Table1[[#This Row],[Years_at_Company]]&lt;=10,"6-10 Years","10+ Years")))</f>
        <v>6-10 Years</v>
      </c>
    </row>
    <row r="58" spans="1:13" x14ac:dyDescent="0.3">
      <c r="A58" t="s">
        <v>159</v>
      </c>
      <c r="B58">
        <v>27</v>
      </c>
      <c r="C58" t="s">
        <v>7</v>
      </c>
      <c r="D58" t="s">
        <v>14</v>
      </c>
      <c r="E58" t="s">
        <v>13</v>
      </c>
      <c r="F58">
        <v>3500</v>
      </c>
      <c r="G58">
        <v>2</v>
      </c>
      <c r="H58">
        <v>2</v>
      </c>
      <c r="I58" t="s">
        <v>12</v>
      </c>
      <c r="J58" t="str">
        <f>IF(Table1[[#This Row],[Age]]&lt;25,"Below 25",IF(Table1[[#This Row],[Age]]&lt;35,"25-34",IF(Table1[[#This Row],[Age]]&lt;45,"35-44","45+")))</f>
        <v>25-34</v>
      </c>
      <c r="K58" t="str">
        <f>IF(Table1[[#This Row],[Monthly_Income]]&lt;4000,"Low",IF(Table1[[#This Row],[Monthly_Income]]&lt;7000,"Medium","High"))</f>
        <v>Low</v>
      </c>
      <c r="L58">
        <f>IF(Table1[[#This Row],[Attrition]]="Yes",1,0)</f>
        <v>1</v>
      </c>
      <c r="M58" t="str">
        <f>IF(Table1[[#This Row],[Years_at_Company]]&lt;2,"0-2 Years",IF(Table1[[#This Row],[Years_at_Company]]&lt;=5,"3-5 Years",IF(Table1[[#This Row],[Years_at_Company]]&lt;=10,"6-10 Years","10+ Years")))</f>
        <v>3-5 Years</v>
      </c>
    </row>
    <row r="59" spans="1:13" x14ac:dyDescent="0.3">
      <c r="A59" t="s">
        <v>158</v>
      </c>
      <c r="B59">
        <v>37</v>
      </c>
      <c r="C59" t="s">
        <v>3</v>
      </c>
      <c r="D59" t="s">
        <v>10</v>
      </c>
      <c r="E59" t="s">
        <v>9</v>
      </c>
      <c r="F59">
        <v>6300</v>
      </c>
      <c r="G59">
        <v>4</v>
      </c>
      <c r="H59">
        <v>8</v>
      </c>
      <c r="I59" t="s">
        <v>0</v>
      </c>
      <c r="J59" t="str">
        <f>IF(Table1[[#This Row],[Age]]&lt;25,"Below 25",IF(Table1[[#This Row],[Age]]&lt;35,"25-34",IF(Table1[[#This Row],[Age]]&lt;45,"35-44","45+")))</f>
        <v>35-44</v>
      </c>
      <c r="K59" t="str">
        <f>IF(Table1[[#This Row],[Monthly_Income]]&lt;4000,"Low",IF(Table1[[#This Row],[Monthly_Income]]&lt;7000,"Medium","High"))</f>
        <v>Medium</v>
      </c>
      <c r="L59">
        <f>IF(Table1[[#This Row],[Attrition]]="Yes",1,0)</f>
        <v>0</v>
      </c>
      <c r="M59" t="str">
        <f>IF(Table1[[#This Row],[Years_at_Company]]&lt;2,"0-2 Years",IF(Table1[[#This Row],[Years_at_Company]]&lt;=5,"3-5 Years",IF(Table1[[#This Row],[Years_at_Company]]&lt;=10,"6-10 Years","10+ Years")))</f>
        <v>6-10 Years</v>
      </c>
    </row>
    <row r="60" spans="1:13" x14ac:dyDescent="0.3">
      <c r="A60" t="s">
        <v>157</v>
      </c>
      <c r="B60">
        <v>32</v>
      </c>
      <c r="C60" t="s">
        <v>7</v>
      </c>
      <c r="D60" t="s">
        <v>6</v>
      </c>
      <c r="E60" t="s">
        <v>18</v>
      </c>
      <c r="F60">
        <v>4600</v>
      </c>
      <c r="G60">
        <v>3</v>
      </c>
      <c r="H60">
        <v>5</v>
      </c>
      <c r="I60" t="s">
        <v>0</v>
      </c>
      <c r="J60" t="str">
        <f>IF(Table1[[#This Row],[Age]]&lt;25,"Below 25",IF(Table1[[#This Row],[Age]]&lt;35,"25-34",IF(Table1[[#This Row],[Age]]&lt;45,"35-44","45+")))</f>
        <v>25-34</v>
      </c>
      <c r="K60" t="str">
        <f>IF(Table1[[#This Row],[Monthly_Income]]&lt;4000,"Low",IF(Table1[[#This Row],[Monthly_Income]]&lt;7000,"Medium","High"))</f>
        <v>Medium</v>
      </c>
      <c r="L60">
        <f>IF(Table1[[#This Row],[Attrition]]="Yes",1,0)</f>
        <v>0</v>
      </c>
      <c r="M60" t="str">
        <f>IF(Table1[[#This Row],[Years_at_Company]]&lt;2,"0-2 Years",IF(Table1[[#This Row],[Years_at_Company]]&lt;=5,"3-5 Years",IF(Table1[[#This Row],[Years_at_Company]]&lt;=10,"6-10 Years","10+ Years")))</f>
        <v>3-5 Years</v>
      </c>
    </row>
    <row r="61" spans="1:13" x14ac:dyDescent="0.3">
      <c r="A61" t="s">
        <v>156</v>
      </c>
      <c r="B61">
        <v>46</v>
      </c>
      <c r="C61" t="s">
        <v>3</v>
      </c>
      <c r="D61" t="s">
        <v>2</v>
      </c>
      <c r="E61" t="s">
        <v>16</v>
      </c>
      <c r="F61">
        <v>7000</v>
      </c>
      <c r="G61">
        <v>4</v>
      </c>
      <c r="H61">
        <v>14</v>
      </c>
      <c r="I61" t="s">
        <v>0</v>
      </c>
      <c r="J61" t="str">
        <f>IF(Table1[[#This Row],[Age]]&lt;25,"Below 25",IF(Table1[[#This Row],[Age]]&lt;35,"25-34",IF(Table1[[#This Row],[Age]]&lt;45,"35-44","45+")))</f>
        <v>45+</v>
      </c>
      <c r="K61" t="str">
        <f>IF(Table1[[#This Row],[Monthly_Income]]&lt;4000,"Low",IF(Table1[[#This Row],[Monthly_Income]]&lt;7000,"Medium","High"))</f>
        <v>High</v>
      </c>
      <c r="L61">
        <f>IF(Table1[[#This Row],[Attrition]]="Yes",1,0)</f>
        <v>0</v>
      </c>
      <c r="M61" t="str">
        <f>IF(Table1[[#This Row],[Years_at_Company]]&lt;2,"0-2 Years",IF(Table1[[#This Row],[Years_at_Company]]&lt;=5,"3-5 Years",IF(Table1[[#This Row],[Years_at_Company]]&lt;=10,"6-10 Years","10+ Years")))</f>
        <v>10+ Years</v>
      </c>
    </row>
    <row r="62" spans="1:13" x14ac:dyDescent="0.3">
      <c r="A62" t="s">
        <v>155</v>
      </c>
      <c r="B62">
        <v>25</v>
      </c>
      <c r="C62" t="s">
        <v>3</v>
      </c>
      <c r="D62" t="s">
        <v>14</v>
      </c>
      <c r="E62" t="s">
        <v>13</v>
      </c>
      <c r="F62">
        <v>3200</v>
      </c>
      <c r="G62">
        <v>2</v>
      </c>
      <c r="H62">
        <v>1</v>
      </c>
      <c r="I62" t="s">
        <v>12</v>
      </c>
      <c r="J62" t="str">
        <f>IF(Table1[[#This Row],[Age]]&lt;25,"Below 25",IF(Table1[[#This Row],[Age]]&lt;35,"25-34",IF(Table1[[#This Row],[Age]]&lt;45,"35-44","45+")))</f>
        <v>25-34</v>
      </c>
      <c r="K62" t="str">
        <f>IF(Table1[[#This Row],[Monthly_Income]]&lt;4000,"Low",IF(Table1[[#This Row],[Monthly_Income]]&lt;7000,"Medium","High"))</f>
        <v>Low</v>
      </c>
      <c r="L62">
        <f>IF(Table1[[#This Row],[Attrition]]="Yes",1,0)</f>
        <v>1</v>
      </c>
      <c r="M62" t="str">
        <f>IF(Table1[[#This Row],[Years_at_Company]]&lt;2,"0-2 Years",IF(Table1[[#This Row],[Years_at_Company]]&lt;=5,"3-5 Years",IF(Table1[[#This Row],[Years_at_Company]]&lt;=10,"6-10 Years","10+ Years")))</f>
        <v>0-2 Years</v>
      </c>
    </row>
    <row r="63" spans="1:13" x14ac:dyDescent="0.3">
      <c r="A63" t="s">
        <v>154</v>
      </c>
      <c r="B63">
        <v>34</v>
      </c>
      <c r="C63" t="s">
        <v>7</v>
      </c>
      <c r="D63" t="s">
        <v>10</v>
      </c>
      <c r="E63" t="s">
        <v>20</v>
      </c>
      <c r="F63">
        <v>5900</v>
      </c>
      <c r="G63">
        <v>3</v>
      </c>
      <c r="H63">
        <v>6</v>
      </c>
      <c r="I63" t="s">
        <v>0</v>
      </c>
      <c r="J63" t="str">
        <f>IF(Table1[[#This Row],[Age]]&lt;25,"Below 25",IF(Table1[[#This Row],[Age]]&lt;35,"25-34",IF(Table1[[#This Row],[Age]]&lt;45,"35-44","45+")))</f>
        <v>25-34</v>
      </c>
      <c r="K63" t="str">
        <f>IF(Table1[[#This Row],[Monthly_Income]]&lt;4000,"Low",IF(Table1[[#This Row],[Monthly_Income]]&lt;7000,"Medium","High"))</f>
        <v>Medium</v>
      </c>
      <c r="L63">
        <f>IF(Table1[[#This Row],[Attrition]]="Yes",1,0)</f>
        <v>0</v>
      </c>
      <c r="M63" t="str">
        <f>IF(Table1[[#This Row],[Years_at_Company]]&lt;2,"0-2 Years",IF(Table1[[#This Row],[Years_at_Company]]&lt;=5,"3-5 Years",IF(Table1[[#This Row],[Years_at_Company]]&lt;=10,"6-10 Years","10+ Years")))</f>
        <v>6-10 Years</v>
      </c>
    </row>
    <row r="64" spans="1:13" x14ac:dyDescent="0.3">
      <c r="A64" t="s">
        <v>153</v>
      </c>
      <c r="B64">
        <v>29</v>
      </c>
      <c r="C64" t="s">
        <v>3</v>
      </c>
      <c r="D64" t="s">
        <v>6</v>
      </c>
      <c r="E64" t="s">
        <v>5</v>
      </c>
      <c r="F64">
        <v>4400</v>
      </c>
      <c r="G64">
        <v>3</v>
      </c>
      <c r="H64">
        <v>4</v>
      </c>
      <c r="I64" t="s">
        <v>0</v>
      </c>
      <c r="J64" t="str">
        <f>IF(Table1[[#This Row],[Age]]&lt;25,"Below 25",IF(Table1[[#This Row],[Age]]&lt;35,"25-34",IF(Table1[[#This Row],[Age]]&lt;45,"35-44","45+")))</f>
        <v>25-34</v>
      </c>
      <c r="K64" t="str">
        <f>IF(Table1[[#This Row],[Monthly_Income]]&lt;4000,"Low",IF(Table1[[#This Row],[Monthly_Income]]&lt;7000,"Medium","High"))</f>
        <v>Medium</v>
      </c>
      <c r="L64">
        <f>IF(Table1[[#This Row],[Attrition]]="Yes",1,0)</f>
        <v>0</v>
      </c>
      <c r="M64" t="str">
        <f>IF(Table1[[#This Row],[Years_at_Company]]&lt;2,"0-2 Years",IF(Table1[[#This Row],[Years_at_Company]]&lt;=5,"3-5 Years",IF(Table1[[#This Row],[Years_at_Company]]&lt;=10,"6-10 Years","10+ Years")))</f>
        <v>3-5 Years</v>
      </c>
    </row>
    <row r="65" spans="1:13" x14ac:dyDescent="0.3">
      <c r="A65" t="s">
        <v>152</v>
      </c>
      <c r="B65">
        <v>43</v>
      </c>
      <c r="C65" t="s">
        <v>7</v>
      </c>
      <c r="D65" t="s">
        <v>2</v>
      </c>
      <c r="E65" t="s">
        <v>23</v>
      </c>
      <c r="F65">
        <v>7500</v>
      </c>
      <c r="G65">
        <v>4</v>
      </c>
      <c r="H65">
        <v>12</v>
      </c>
      <c r="I65" t="s">
        <v>0</v>
      </c>
      <c r="J65" t="str">
        <f>IF(Table1[[#This Row],[Age]]&lt;25,"Below 25",IF(Table1[[#This Row],[Age]]&lt;35,"25-34",IF(Table1[[#This Row],[Age]]&lt;45,"35-44","45+")))</f>
        <v>35-44</v>
      </c>
      <c r="K65" t="str">
        <f>IF(Table1[[#This Row],[Monthly_Income]]&lt;4000,"Low",IF(Table1[[#This Row],[Monthly_Income]]&lt;7000,"Medium","High"))</f>
        <v>High</v>
      </c>
      <c r="L65">
        <f>IF(Table1[[#This Row],[Attrition]]="Yes",1,0)</f>
        <v>0</v>
      </c>
      <c r="M65" t="str">
        <f>IF(Table1[[#This Row],[Years_at_Company]]&lt;2,"0-2 Years",IF(Table1[[#This Row],[Years_at_Company]]&lt;=5,"3-5 Years",IF(Table1[[#This Row],[Years_at_Company]]&lt;=10,"6-10 Years","10+ Years")))</f>
        <v>10+ Years</v>
      </c>
    </row>
    <row r="66" spans="1:13" x14ac:dyDescent="0.3">
      <c r="A66" t="s">
        <v>151</v>
      </c>
      <c r="B66">
        <v>22</v>
      </c>
      <c r="C66" t="s">
        <v>3</v>
      </c>
      <c r="D66" t="s">
        <v>14</v>
      </c>
      <c r="E66" t="s">
        <v>13</v>
      </c>
      <c r="F66">
        <v>2900</v>
      </c>
      <c r="G66">
        <v>1</v>
      </c>
      <c r="H66">
        <v>1</v>
      </c>
      <c r="I66" t="s">
        <v>12</v>
      </c>
      <c r="J66" t="str">
        <f>IF(Table1[[#This Row],[Age]]&lt;25,"Below 25",IF(Table1[[#This Row],[Age]]&lt;35,"25-34",IF(Table1[[#This Row],[Age]]&lt;45,"35-44","45+")))</f>
        <v>Below 25</v>
      </c>
      <c r="K66" t="str">
        <f>IF(Table1[[#This Row],[Monthly_Income]]&lt;4000,"Low",IF(Table1[[#This Row],[Monthly_Income]]&lt;7000,"Medium","High"))</f>
        <v>Low</v>
      </c>
      <c r="L66">
        <f>IF(Table1[[#This Row],[Attrition]]="Yes",1,0)</f>
        <v>1</v>
      </c>
      <c r="M66" t="str">
        <f>IF(Table1[[#This Row],[Years_at_Company]]&lt;2,"0-2 Years",IF(Table1[[#This Row],[Years_at_Company]]&lt;=5,"3-5 Years",IF(Table1[[#This Row],[Years_at_Company]]&lt;=10,"6-10 Years","10+ Years")))</f>
        <v>0-2 Years</v>
      </c>
    </row>
    <row r="67" spans="1:13" x14ac:dyDescent="0.3">
      <c r="A67" t="s">
        <v>150</v>
      </c>
      <c r="B67">
        <v>36</v>
      </c>
      <c r="C67" t="s">
        <v>7</v>
      </c>
      <c r="D67" t="s">
        <v>10</v>
      </c>
      <c r="E67" t="s">
        <v>9</v>
      </c>
      <c r="F67">
        <v>6100</v>
      </c>
      <c r="G67">
        <v>4</v>
      </c>
      <c r="H67">
        <v>7</v>
      </c>
      <c r="I67" t="s">
        <v>0</v>
      </c>
      <c r="J67" t="str">
        <f>IF(Table1[[#This Row],[Age]]&lt;25,"Below 25",IF(Table1[[#This Row],[Age]]&lt;35,"25-34",IF(Table1[[#This Row],[Age]]&lt;45,"35-44","45+")))</f>
        <v>35-44</v>
      </c>
      <c r="K67" t="str">
        <f>IF(Table1[[#This Row],[Monthly_Income]]&lt;4000,"Low",IF(Table1[[#This Row],[Monthly_Income]]&lt;7000,"Medium","High"))</f>
        <v>Medium</v>
      </c>
      <c r="L67">
        <f>IF(Table1[[#This Row],[Attrition]]="Yes",1,0)</f>
        <v>0</v>
      </c>
      <c r="M67" t="str">
        <f>IF(Table1[[#This Row],[Years_at_Company]]&lt;2,"0-2 Years",IF(Table1[[#This Row],[Years_at_Company]]&lt;=5,"3-5 Years",IF(Table1[[#This Row],[Years_at_Company]]&lt;=10,"6-10 Years","10+ Years")))</f>
        <v>6-10 Years</v>
      </c>
    </row>
    <row r="68" spans="1:13" x14ac:dyDescent="0.3">
      <c r="A68" t="s">
        <v>149</v>
      </c>
      <c r="B68">
        <v>31</v>
      </c>
      <c r="C68" t="s">
        <v>3</v>
      </c>
      <c r="D68" t="s">
        <v>6</v>
      </c>
      <c r="E68" t="s">
        <v>18</v>
      </c>
      <c r="F68">
        <v>4500</v>
      </c>
      <c r="G68">
        <v>3</v>
      </c>
      <c r="H68">
        <v>5</v>
      </c>
      <c r="I68" t="s">
        <v>0</v>
      </c>
      <c r="J68" t="str">
        <f>IF(Table1[[#This Row],[Age]]&lt;25,"Below 25",IF(Table1[[#This Row],[Age]]&lt;35,"25-34",IF(Table1[[#This Row],[Age]]&lt;45,"35-44","45+")))</f>
        <v>25-34</v>
      </c>
      <c r="K68" t="str">
        <f>IF(Table1[[#This Row],[Monthly_Income]]&lt;4000,"Low",IF(Table1[[#This Row],[Monthly_Income]]&lt;7000,"Medium","High"))</f>
        <v>Medium</v>
      </c>
      <c r="L68">
        <f>IF(Table1[[#This Row],[Attrition]]="Yes",1,0)</f>
        <v>0</v>
      </c>
      <c r="M68" t="str">
        <f>IF(Table1[[#This Row],[Years_at_Company]]&lt;2,"0-2 Years",IF(Table1[[#This Row],[Years_at_Company]]&lt;=5,"3-5 Years",IF(Table1[[#This Row],[Years_at_Company]]&lt;=10,"6-10 Years","10+ Years")))</f>
        <v>3-5 Years</v>
      </c>
    </row>
    <row r="69" spans="1:13" x14ac:dyDescent="0.3">
      <c r="A69" t="s">
        <v>148</v>
      </c>
      <c r="B69">
        <v>47</v>
      </c>
      <c r="C69" t="s">
        <v>7</v>
      </c>
      <c r="D69" t="s">
        <v>2</v>
      </c>
      <c r="E69" t="s">
        <v>1</v>
      </c>
      <c r="F69">
        <v>9000</v>
      </c>
      <c r="G69">
        <v>4</v>
      </c>
      <c r="H69">
        <v>15</v>
      </c>
      <c r="I69" t="s">
        <v>0</v>
      </c>
      <c r="J69" t="str">
        <f>IF(Table1[[#This Row],[Age]]&lt;25,"Below 25",IF(Table1[[#This Row],[Age]]&lt;35,"25-34",IF(Table1[[#This Row],[Age]]&lt;45,"35-44","45+")))</f>
        <v>45+</v>
      </c>
      <c r="K69" t="str">
        <f>IF(Table1[[#This Row],[Monthly_Income]]&lt;4000,"Low",IF(Table1[[#This Row],[Monthly_Income]]&lt;7000,"Medium","High"))</f>
        <v>High</v>
      </c>
      <c r="L69">
        <f>IF(Table1[[#This Row],[Attrition]]="Yes",1,0)</f>
        <v>0</v>
      </c>
      <c r="M69" t="str">
        <f>IF(Table1[[#This Row],[Years_at_Company]]&lt;2,"0-2 Years",IF(Table1[[#This Row],[Years_at_Company]]&lt;=5,"3-5 Years",IF(Table1[[#This Row],[Years_at_Company]]&lt;=10,"6-10 Years","10+ Years")))</f>
        <v>10+ Years</v>
      </c>
    </row>
    <row r="70" spans="1:13" x14ac:dyDescent="0.3">
      <c r="A70" t="s">
        <v>147</v>
      </c>
      <c r="B70">
        <v>26</v>
      </c>
      <c r="C70" t="s">
        <v>7</v>
      </c>
      <c r="D70" t="s">
        <v>14</v>
      </c>
      <c r="E70" t="s">
        <v>13</v>
      </c>
      <c r="F70">
        <v>3400</v>
      </c>
      <c r="G70">
        <v>2</v>
      </c>
      <c r="H70">
        <v>2</v>
      </c>
      <c r="I70" t="s">
        <v>12</v>
      </c>
      <c r="J70" t="str">
        <f>IF(Table1[[#This Row],[Age]]&lt;25,"Below 25",IF(Table1[[#This Row],[Age]]&lt;35,"25-34",IF(Table1[[#This Row],[Age]]&lt;45,"35-44","45+")))</f>
        <v>25-34</v>
      </c>
      <c r="K70" t="str">
        <f>IF(Table1[[#This Row],[Monthly_Income]]&lt;4000,"Low",IF(Table1[[#This Row],[Monthly_Income]]&lt;7000,"Medium","High"))</f>
        <v>Low</v>
      </c>
      <c r="L70">
        <f>IF(Table1[[#This Row],[Attrition]]="Yes",1,0)</f>
        <v>1</v>
      </c>
      <c r="M70" t="str">
        <f>IF(Table1[[#This Row],[Years_at_Company]]&lt;2,"0-2 Years",IF(Table1[[#This Row],[Years_at_Company]]&lt;=5,"3-5 Years",IF(Table1[[#This Row],[Years_at_Company]]&lt;=10,"6-10 Years","10+ Years")))</f>
        <v>3-5 Years</v>
      </c>
    </row>
    <row r="71" spans="1:13" x14ac:dyDescent="0.3">
      <c r="A71" t="s">
        <v>146</v>
      </c>
      <c r="B71">
        <v>39</v>
      </c>
      <c r="C71" t="s">
        <v>3</v>
      </c>
      <c r="D71" t="s">
        <v>10</v>
      </c>
      <c r="E71" t="s">
        <v>20</v>
      </c>
      <c r="F71">
        <v>6600</v>
      </c>
      <c r="G71">
        <v>3</v>
      </c>
      <c r="H71">
        <v>9</v>
      </c>
      <c r="I71" t="s">
        <v>0</v>
      </c>
      <c r="J71" t="str">
        <f>IF(Table1[[#This Row],[Age]]&lt;25,"Below 25",IF(Table1[[#This Row],[Age]]&lt;35,"25-34",IF(Table1[[#This Row],[Age]]&lt;45,"35-44","45+")))</f>
        <v>35-44</v>
      </c>
      <c r="K71" t="str">
        <f>IF(Table1[[#This Row],[Monthly_Income]]&lt;4000,"Low",IF(Table1[[#This Row],[Monthly_Income]]&lt;7000,"Medium","High"))</f>
        <v>Medium</v>
      </c>
      <c r="L71">
        <f>IF(Table1[[#This Row],[Attrition]]="Yes",1,0)</f>
        <v>0</v>
      </c>
      <c r="M71" t="str">
        <f>IF(Table1[[#This Row],[Years_at_Company]]&lt;2,"0-2 Years",IF(Table1[[#This Row],[Years_at_Company]]&lt;=5,"3-5 Years",IF(Table1[[#This Row],[Years_at_Company]]&lt;=10,"6-10 Years","10+ Years")))</f>
        <v>6-10 Years</v>
      </c>
    </row>
    <row r="72" spans="1:13" x14ac:dyDescent="0.3">
      <c r="A72" t="s">
        <v>145</v>
      </c>
      <c r="B72">
        <v>33</v>
      </c>
      <c r="C72" t="s">
        <v>7</v>
      </c>
      <c r="D72" t="s">
        <v>6</v>
      </c>
      <c r="E72" t="s">
        <v>5</v>
      </c>
      <c r="F72">
        <v>4800</v>
      </c>
      <c r="G72">
        <v>4</v>
      </c>
      <c r="H72">
        <v>6</v>
      </c>
      <c r="I72" t="s">
        <v>0</v>
      </c>
      <c r="J72" t="str">
        <f>IF(Table1[[#This Row],[Age]]&lt;25,"Below 25",IF(Table1[[#This Row],[Age]]&lt;35,"25-34",IF(Table1[[#This Row],[Age]]&lt;45,"35-44","45+")))</f>
        <v>25-34</v>
      </c>
      <c r="K72" t="str">
        <f>IF(Table1[[#This Row],[Monthly_Income]]&lt;4000,"Low",IF(Table1[[#This Row],[Monthly_Income]]&lt;7000,"Medium","High"))</f>
        <v>Medium</v>
      </c>
      <c r="L72">
        <f>IF(Table1[[#This Row],[Attrition]]="Yes",1,0)</f>
        <v>0</v>
      </c>
      <c r="M72" t="str">
        <f>IF(Table1[[#This Row],[Years_at_Company]]&lt;2,"0-2 Years",IF(Table1[[#This Row],[Years_at_Company]]&lt;=5,"3-5 Years",IF(Table1[[#This Row],[Years_at_Company]]&lt;=10,"6-10 Years","10+ Years")))</f>
        <v>6-10 Years</v>
      </c>
    </row>
    <row r="73" spans="1:13" x14ac:dyDescent="0.3">
      <c r="A73" t="s">
        <v>144</v>
      </c>
      <c r="B73">
        <v>42</v>
      </c>
      <c r="C73" t="s">
        <v>3</v>
      </c>
      <c r="D73" t="s">
        <v>2</v>
      </c>
      <c r="E73" t="s">
        <v>16</v>
      </c>
      <c r="F73">
        <v>6900</v>
      </c>
      <c r="G73">
        <v>3</v>
      </c>
      <c r="H73">
        <v>11</v>
      </c>
      <c r="I73" t="s">
        <v>0</v>
      </c>
      <c r="J73" t="str">
        <f>IF(Table1[[#This Row],[Age]]&lt;25,"Below 25",IF(Table1[[#This Row],[Age]]&lt;35,"25-34",IF(Table1[[#This Row],[Age]]&lt;45,"35-44","45+")))</f>
        <v>35-44</v>
      </c>
      <c r="K73" t="str">
        <f>IF(Table1[[#This Row],[Monthly_Income]]&lt;4000,"Low",IF(Table1[[#This Row],[Monthly_Income]]&lt;7000,"Medium","High"))</f>
        <v>Medium</v>
      </c>
      <c r="L73">
        <f>IF(Table1[[#This Row],[Attrition]]="Yes",1,0)</f>
        <v>0</v>
      </c>
      <c r="M73" t="str">
        <f>IF(Table1[[#This Row],[Years_at_Company]]&lt;2,"0-2 Years",IF(Table1[[#This Row],[Years_at_Company]]&lt;=5,"3-5 Years",IF(Table1[[#This Row],[Years_at_Company]]&lt;=10,"6-10 Years","10+ Years")))</f>
        <v>10+ Years</v>
      </c>
    </row>
    <row r="74" spans="1:13" x14ac:dyDescent="0.3">
      <c r="A74" t="s">
        <v>143</v>
      </c>
      <c r="B74">
        <v>28</v>
      </c>
      <c r="C74" t="s">
        <v>3</v>
      </c>
      <c r="D74" t="s">
        <v>14</v>
      </c>
      <c r="E74" t="s">
        <v>13</v>
      </c>
      <c r="F74">
        <v>3600</v>
      </c>
      <c r="G74">
        <v>2</v>
      </c>
      <c r="H74">
        <v>3</v>
      </c>
      <c r="I74" t="s">
        <v>0</v>
      </c>
      <c r="J74" t="str">
        <f>IF(Table1[[#This Row],[Age]]&lt;25,"Below 25",IF(Table1[[#This Row],[Age]]&lt;35,"25-34",IF(Table1[[#This Row],[Age]]&lt;45,"35-44","45+")))</f>
        <v>25-34</v>
      </c>
      <c r="K74" t="str">
        <f>IF(Table1[[#This Row],[Monthly_Income]]&lt;4000,"Low",IF(Table1[[#This Row],[Monthly_Income]]&lt;7000,"Medium","High"))</f>
        <v>Low</v>
      </c>
      <c r="L74">
        <f>IF(Table1[[#This Row],[Attrition]]="Yes",1,0)</f>
        <v>0</v>
      </c>
      <c r="M74" t="str">
        <f>IF(Table1[[#This Row],[Years_at_Company]]&lt;2,"0-2 Years",IF(Table1[[#This Row],[Years_at_Company]]&lt;=5,"3-5 Years",IF(Table1[[#This Row],[Years_at_Company]]&lt;=10,"6-10 Years","10+ Years")))</f>
        <v>3-5 Years</v>
      </c>
    </row>
    <row r="75" spans="1:13" x14ac:dyDescent="0.3">
      <c r="A75" t="s">
        <v>142</v>
      </c>
      <c r="B75">
        <v>35</v>
      </c>
      <c r="C75" t="s">
        <v>7</v>
      </c>
      <c r="D75" t="s">
        <v>10</v>
      </c>
      <c r="E75" t="s">
        <v>9</v>
      </c>
      <c r="F75">
        <v>6400</v>
      </c>
      <c r="G75">
        <v>4</v>
      </c>
      <c r="H75">
        <v>7</v>
      </c>
      <c r="I75" t="s">
        <v>0</v>
      </c>
      <c r="J75" t="str">
        <f>IF(Table1[[#This Row],[Age]]&lt;25,"Below 25",IF(Table1[[#This Row],[Age]]&lt;35,"25-34",IF(Table1[[#This Row],[Age]]&lt;45,"35-44","45+")))</f>
        <v>35-44</v>
      </c>
      <c r="K75" t="str">
        <f>IF(Table1[[#This Row],[Monthly_Income]]&lt;4000,"Low",IF(Table1[[#This Row],[Monthly_Income]]&lt;7000,"Medium","High"))</f>
        <v>Medium</v>
      </c>
      <c r="L75">
        <f>IF(Table1[[#This Row],[Attrition]]="Yes",1,0)</f>
        <v>0</v>
      </c>
      <c r="M75" t="str">
        <f>IF(Table1[[#This Row],[Years_at_Company]]&lt;2,"0-2 Years",IF(Table1[[#This Row],[Years_at_Company]]&lt;=5,"3-5 Years",IF(Table1[[#This Row],[Years_at_Company]]&lt;=10,"6-10 Years","10+ Years")))</f>
        <v>6-10 Years</v>
      </c>
    </row>
    <row r="76" spans="1:13" x14ac:dyDescent="0.3">
      <c r="A76" t="s">
        <v>141</v>
      </c>
      <c r="B76">
        <v>24</v>
      </c>
      <c r="C76" t="s">
        <v>7</v>
      </c>
      <c r="D76" t="s">
        <v>6</v>
      </c>
      <c r="E76" t="s">
        <v>5</v>
      </c>
      <c r="F76">
        <v>3800</v>
      </c>
      <c r="G76">
        <v>1</v>
      </c>
      <c r="H76">
        <v>1</v>
      </c>
      <c r="I76" t="s">
        <v>12</v>
      </c>
      <c r="J76" t="str">
        <f>IF(Table1[[#This Row],[Age]]&lt;25,"Below 25",IF(Table1[[#This Row],[Age]]&lt;35,"25-34",IF(Table1[[#This Row],[Age]]&lt;45,"35-44","45+")))</f>
        <v>Below 25</v>
      </c>
      <c r="K76" t="str">
        <f>IF(Table1[[#This Row],[Monthly_Income]]&lt;4000,"Low",IF(Table1[[#This Row],[Monthly_Income]]&lt;7000,"Medium","High"))</f>
        <v>Low</v>
      </c>
      <c r="L76">
        <f>IF(Table1[[#This Row],[Attrition]]="Yes",1,0)</f>
        <v>1</v>
      </c>
      <c r="M76" t="str">
        <f>IF(Table1[[#This Row],[Years_at_Company]]&lt;2,"0-2 Years",IF(Table1[[#This Row],[Years_at_Company]]&lt;=5,"3-5 Years",IF(Table1[[#This Row],[Years_at_Company]]&lt;=10,"6-10 Years","10+ Years")))</f>
        <v>0-2 Years</v>
      </c>
    </row>
    <row r="77" spans="1:13" x14ac:dyDescent="0.3">
      <c r="A77" t="s">
        <v>140</v>
      </c>
      <c r="B77">
        <v>40</v>
      </c>
      <c r="C77" t="s">
        <v>3</v>
      </c>
      <c r="D77" t="s">
        <v>2</v>
      </c>
      <c r="E77" t="s">
        <v>23</v>
      </c>
      <c r="F77">
        <v>7300</v>
      </c>
      <c r="G77">
        <v>4</v>
      </c>
      <c r="H77">
        <v>10</v>
      </c>
      <c r="I77" t="s">
        <v>0</v>
      </c>
      <c r="J77" t="str">
        <f>IF(Table1[[#This Row],[Age]]&lt;25,"Below 25",IF(Table1[[#This Row],[Age]]&lt;35,"25-34",IF(Table1[[#This Row],[Age]]&lt;45,"35-44","45+")))</f>
        <v>35-44</v>
      </c>
      <c r="K77" t="str">
        <f>IF(Table1[[#This Row],[Monthly_Income]]&lt;4000,"Low",IF(Table1[[#This Row],[Monthly_Income]]&lt;7000,"Medium","High"))</f>
        <v>High</v>
      </c>
      <c r="L77">
        <f>IF(Table1[[#This Row],[Attrition]]="Yes",1,0)</f>
        <v>0</v>
      </c>
      <c r="M77" t="str">
        <f>IF(Table1[[#This Row],[Years_at_Company]]&lt;2,"0-2 Years",IF(Table1[[#This Row],[Years_at_Company]]&lt;=5,"3-5 Years",IF(Table1[[#This Row],[Years_at_Company]]&lt;=10,"6-10 Years","10+ Years")))</f>
        <v>6-10 Years</v>
      </c>
    </row>
    <row r="78" spans="1:13" x14ac:dyDescent="0.3">
      <c r="A78" t="s">
        <v>139</v>
      </c>
      <c r="B78">
        <v>27</v>
      </c>
      <c r="C78" t="s">
        <v>7</v>
      </c>
      <c r="D78" t="s">
        <v>14</v>
      </c>
      <c r="E78" t="s">
        <v>13</v>
      </c>
      <c r="F78">
        <v>3300</v>
      </c>
      <c r="G78">
        <v>2</v>
      </c>
      <c r="H78">
        <v>2</v>
      </c>
      <c r="I78" t="s">
        <v>12</v>
      </c>
      <c r="J78" t="str">
        <f>IF(Table1[[#This Row],[Age]]&lt;25,"Below 25",IF(Table1[[#This Row],[Age]]&lt;35,"25-34",IF(Table1[[#This Row],[Age]]&lt;45,"35-44","45+")))</f>
        <v>25-34</v>
      </c>
      <c r="K78" t="str">
        <f>IF(Table1[[#This Row],[Monthly_Income]]&lt;4000,"Low",IF(Table1[[#This Row],[Monthly_Income]]&lt;7000,"Medium","High"))</f>
        <v>Low</v>
      </c>
      <c r="L78">
        <f>IF(Table1[[#This Row],[Attrition]]="Yes",1,0)</f>
        <v>1</v>
      </c>
      <c r="M78" t="str">
        <f>IF(Table1[[#This Row],[Years_at_Company]]&lt;2,"0-2 Years",IF(Table1[[#This Row],[Years_at_Company]]&lt;=5,"3-5 Years",IF(Table1[[#This Row],[Years_at_Company]]&lt;=10,"6-10 Years","10+ Years")))</f>
        <v>3-5 Years</v>
      </c>
    </row>
    <row r="79" spans="1:13" x14ac:dyDescent="0.3">
      <c r="A79" t="s">
        <v>138</v>
      </c>
      <c r="B79">
        <v>32</v>
      </c>
      <c r="C79" t="s">
        <v>3</v>
      </c>
      <c r="D79" t="s">
        <v>10</v>
      </c>
      <c r="E79" t="s">
        <v>20</v>
      </c>
      <c r="F79">
        <v>5800</v>
      </c>
      <c r="G79">
        <v>3</v>
      </c>
      <c r="H79">
        <v>5</v>
      </c>
      <c r="I79" t="s">
        <v>0</v>
      </c>
      <c r="J79" t="str">
        <f>IF(Table1[[#This Row],[Age]]&lt;25,"Below 25",IF(Table1[[#This Row],[Age]]&lt;35,"25-34",IF(Table1[[#This Row],[Age]]&lt;45,"35-44","45+")))</f>
        <v>25-34</v>
      </c>
      <c r="K79" t="str">
        <f>IF(Table1[[#This Row],[Monthly_Income]]&lt;4000,"Low",IF(Table1[[#This Row],[Monthly_Income]]&lt;7000,"Medium","High"))</f>
        <v>Medium</v>
      </c>
      <c r="L79">
        <f>IF(Table1[[#This Row],[Attrition]]="Yes",1,0)</f>
        <v>0</v>
      </c>
      <c r="M79" t="str">
        <f>IF(Table1[[#This Row],[Years_at_Company]]&lt;2,"0-2 Years",IF(Table1[[#This Row],[Years_at_Company]]&lt;=5,"3-5 Years",IF(Table1[[#This Row],[Years_at_Company]]&lt;=10,"6-10 Years","10+ Years")))</f>
        <v>3-5 Years</v>
      </c>
    </row>
    <row r="80" spans="1:13" x14ac:dyDescent="0.3">
      <c r="A80" t="s">
        <v>137</v>
      </c>
      <c r="B80">
        <v>38</v>
      </c>
      <c r="C80" t="s">
        <v>7</v>
      </c>
      <c r="D80" t="s">
        <v>6</v>
      </c>
      <c r="E80" t="s">
        <v>18</v>
      </c>
      <c r="F80">
        <v>5000</v>
      </c>
      <c r="G80">
        <v>4</v>
      </c>
      <c r="H80">
        <v>8</v>
      </c>
      <c r="I80" t="s">
        <v>0</v>
      </c>
      <c r="J80" t="str">
        <f>IF(Table1[[#This Row],[Age]]&lt;25,"Below 25",IF(Table1[[#This Row],[Age]]&lt;35,"25-34",IF(Table1[[#This Row],[Age]]&lt;45,"35-44","45+")))</f>
        <v>35-44</v>
      </c>
      <c r="K80" t="str">
        <f>IF(Table1[[#This Row],[Monthly_Income]]&lt;4000,"Low",IF(Table1[[#This Row],[Monthly_Income]]&lt;7000,"Medium","High"))</f>
        <v>Medium</v>
      </c>
      <c r="L80">
        <f>IF(Table1[[#This Row],[Attrition]]="Yes",1,0)</f>
        <v>0</v>
      </c>
      <c r="M80" t="str">
        <f>IF(Table1[[#This Row],[Years_at_Company]]&lt;2,"0-2 Years",IF(Table1[[#This Row],[Years_at_Company]]&lt;=5,"3-5 Years",IF(Table1[[#This Row],[Years_at_Company]]&lt;=10,"6-10 Years","10+ Years")))</f>
        <v>6-10 Years</v>
      </c>
    </row>
    <row r="81" spans="1:13" x14ac:dyDescent="0.3">
      <c r="A81" t="s">
        <v>136</v>
      </c>
      <c r="B81">
        <v>45</v>
      </c>
      <c r="C81" t="s">
        <v>3</v>
      </c>
      <c r="D81" t="s">
        <v>2</v>
      </c>
      <c r="E81" t="s">
        <v>16</v>
      </c>
      <c r="F81">
        <v>7100</v>
      </c>
      <c r="G81">
        <v>3</v>
      </c>
      <c r="H81">
        <v>13</v>
      </c>
      <c r="I81" t="s">
        <v>0</v>
      </c>
      <c r="J81" t="str">
        <f>IF(Table1[[#This Row],[Age]]&lt;25,"Below 25",IF(Table1[[#This Row],[Age]]&lt;35,"25-34",IF(Table1[[#This Row],[Age]]&lt;45,"35-44","45+")))</f>
        <v>45+</v>
      </c>
      <c r="K81" t="str">
        <f>IF(Table1[[#This Row],[Monthly_Income]]&lt;4000,"Low",IF(Table1[[#This Row],[Monthly_Income]]&lt;7000,"Medium","High"))</f>
        <v>High</v>
      </c>
      <c r="L81">
        <f>IF(Table1[[#This Row],[Attrition]]="Yes",1,0)</f>
        <v>0</v>
      </c>
      <c r="M81" t="str">
        <f>IF(Table1[[#This Row],[Years_at_Company]]&lt;2,"0-2 Years",IF(Table1[[#This Row],[Years_at_Company]]&lt;=5,"3-5 Years",IF(Table1[[#This Row],[Years_at_Company]]&lt;=10,"6-10 Years","10+ Years")))</f>
        <v>10+ Years</v>
      </c>
    </row>
    <row r="82" spans="1:13" x14ac:dyDescent="0.3">
      <c r="A82" t="s">
        <v>135</v>
      </c>
      <c r="B82">
        <v>23</v>
      </c>
      <c r="C82" t="s">
        <v>3</v>
      </c>
      <c r="D82" t="s">
        <v>14</v>
      </c>
      <c r="E82" t="s">
        <v>13</v>
      </c>
      <c r="F82">
        <v>3000</v>
      </c>
      <c r="G82">
        <v>1</v>
      </c>
      <c r="H82">
        <v>1</v>
      </c>
      <c r="I82" t="s">
        <v>12</v>
      </c>
      <c r="J82" t="str">
        <f>IF(Table1[[#This Row],[Age]]&lt;25,"Below 25",IF(Table1[[#This Row],[Age]]&lt;35,"25-34",IF(Table1[[#This Row],[Age]]&lt;45,"35-44","45+")))</f>
        <v>Below 25</v>
      </c>
      <c r="K82" t="str">
        <f>IF(Table1[[#This Row],[Monthly_Income]]&lt;4000,"Low",IF(Table1[[#This Row],[Monthly_Income]]&lt;7000,"Medium","High"))</f>
        <v>Low</v>
      </c>
      <c r="L82">
        <f>IF(Table1[[#This Row],[Attrition]]="Yes",1,0)</f>
        <v>1</v>
      </c>
      <c r="M82" t="str">
        <f>IF(Table1[[#This Row],[Years_at_Company]]&lt;2,"0-2 Years",IF(Table1[[#This Row],[Years_at_Company]]&lt;=5,"3-5 Years",IF(Table1[[#This Row],[Years_at_Company]]&lt;=10,"6-10 Years","10+ Years")))</f>
        <v>0-2 Years</v>
      </c>
    </row>
    <row r="83" spans="1:13" x14ac:dyDescent="0.3">
      <c r="A83" t="s">
        <v>134</v>
      </c>
      <c r="B83">
        <v>37</v>
      </c>
      <c r="C83" t="s">
        <v>7</v>
      </c>
      <c r="D83" t="s">
        <v>10</v>
      </c>
      <c r="E83" t="s">
        <v>9</v>
      </c>
      <c r="F83">
        <v>6200</v>
      </c>
      <c r="G83">
        <v>4</v>
      </c>
      <c r="H83">
        <v>8</v>
      </c>
      <c r="I83" t="s">
        <v>0</v>
      </c>
      <c r="J83" t="str">
        <f>IF(Table1[[#This Row],[Age]]&lt;25,"Below 25",IF(Table1[[#This Row],[Age]]&lt;35,"25-34",IF(Table1[[#This Row],[Age]]&lt;45,"35-44","45+")))</f>
        <v>35-44</v>
      </c>
      <c r="K83" t="str">
        <f>IF(Table1[[#This Row],[Monthly_Income]]&lt;4000,"Low",IF(Table1[[#This Row],[Monthly_Income]]&lt;7000,"Medium","High"))</f>
        <v>Medium</v>
      </c>
      <c r="L83">
        <f>IF(Table1[[#This Row],[Attrition]]="Yes",1,0)</f>
        <v>0</v>
      </c>
      <c r="M83" t="str">
        <f>IF(Table1[[#This Row],[Years_at_Company]]&lt;2,"0-2 Years",IF(Table1[[#This Row],[Years_at_Company]]&lt;=5,"3-5 Years",IF(Table1[[#This Row],[Years_at_Company]]&lt;=10,"6-10 Years","10+ Years")))</f>
        <v>6-10 Years</v>
      </c>
    </row>
    <row r="84" spans="1:13" x14ac:dyDescent="0.3">
      <c r="A84" t="s">
        <v>133</v>
      </c>
      <c r="B84">
        <v>30</v>
      </c>
      <c r="C84" t="s">
        <v>3</v>
      </c>
      <c r="D84" t="s">
        <v>6</v>
      </c>
      <c r="E84" t="s">
        <v>5</v>
      </c>
      <c r="F84">
        <v>4500</v>
      </c>
      <c r="G84">
        <v>3</v>
      </c>
      <c r="H84">
        <v>4</v>
      </c>
      <c r="I84" t="s">
        <v>0</v>
      </c>
      <c r="J84" t="str">
        <f>IF(Table1[[#This Row],[Age]]&lt;25,"Below 25",IF(Table1[[#This Row],[Age]]&lt;35,"25-34",IF(Table1[[#This Row],[Age]]&lt;45,"35-44","45+")))</f>
        <v>25-34</v>
      </c>
      <c r="K84" t="str">
        <f>IF(Table1[[#This Row],[Monthly_Income]]&lt;4000,"Low",IF(Table1[[#This Row],[Monthly_Income]]&lt;7000,"Medium","High"))</f>
        <v>Medium</v>
      </c>
      <c r="L84">
        <f>IF(Table1[[#This Row],[Attrition]]="Yes",1,0)</f>
        <v>0</v>
      </c>
      <c r="M84" t="str">
        <f>IF(Table1[[#This Row],[Years_at_Company]]&lt;2,"0-2 Years",IF(Table1[[#This Row],[Years_at_Company]]&lt;=5,"3-5 Years",IF(Table1[[#This Row],[Years_at_Company]]&lt;=10,"6-10 Years","10+ Years")))</f>
        <v>3-5 Years</v>
      </c>
    </row>
    <row r="85" spans="1:13" x14ac:dyDescent="0.3">
      <c r="A85" t="s">
        <v>132</v>
      </c>
      <c r="B85">
        <v>44</v>
      </c>
      <c r="C85" t="s">
        <v>7</v>
      </c>
      <c r="D85" t="s">
        <v>2</v>
      </c>
      <c r="E85" t="s">
        <v>23</v>
      </c>
      <c r="F85">
        <v>7600</v>
      </c>
      <c r="G85">
        <v>4</v>
      </c>
      <c r="H85">
        <v>12</v>
      </c>
      <c r="I85" t="s">
        <v>0</v>
      </c>
      <c r="J85" t="str">
        <f>IF(Table1[[#This Row],[Age]]&lt;25,"Below 25",IF(Table1[[#This Row],[Age]]&lt;35,"25-34",IF(Table1[[#This Row],[Age]]&lt;45,"35-44","45+")))</f>
        <v>35-44</v>
      </c>
      <c r="K85" t="str">
        <f>IF(Table1[[#This Row],[Monthly_Income]]&lt;4000,"Low",IF(Table1[[#This Row],[Monthly_Income]]&lt;7000,"Medium","High"))</f>
        <v>High</v>
      </c>
      <c r="L85">
        <f>IF(Table1[[#This Row],[Attrition]]="Yes",1,0)</f>
        <v>0</v>
      </c>
      <c r="M85" t="str">
        <f>IF(Table1[[#This Row],[Years_at_Company]]&lt;2,"0-2 Years",IF(Table1[[#This Row],[Years_at_Company]]&lt;=5,"3-5 Years",IF(Table1[[#This Row],[Years_at_Company]]&lt;=10,"6-10 Years","10+ Years")))</f>
        <v>10+ Years</v>
      </c>
    </row>
    <row r="86" spans="1:13" x14ac:dyDescent="0.3">
      <c r="A86" t="s">
        <v>131</v>
      </c>
      <c r="B86">
        <v>26</v>
      </c>
      <c r="C86" t="s">
        <v>7</v>
      </c>
      <c r="D86" t="s">
        <v>14</v>
      </c>
      <c r="E86" t="s">
        <v>13</v>
      </c>
      <c r="F86">
        <v>3500</v>
      </c>
      <c r="G86">
        <v>2</v>
      </c>
      <c r="H86">
        <v>2</v>
      </c>
      <c r="I86" t="s">
        <v>12</v>
      </c>
      <c r="J86" t="str">
        <f>IF(Table1[[#This Row],[Age]]&lt;25,"Below 25",IF(Table1[[#This Row],[Age]]&lt;35,"25-34",IF(Table1[[#This Row],[Age]]&lt;45,"35-44","45+")))</f>
        <v>25-34</v>
      </c>
      <c r="K86" t="str">
        <f>IF(Table1[[#This Row],[Monthly_Income]]&lt;4000,"Low",IF(Table1[[#This Row],[Monthly_Income]]&lt;7000,"Medium","High"))</f>
        <v>Low</v>
      </c>
      <c r="L86">
        <f>IF(Table1[[#This Row],[Attrition]]="Yes",1,0)</f>
        <v>1</v>
      </c>
      <c r="M86" t="str">
        <f>IF(Table1[[#This Row],[Years_at_Company]]&lt;2,"0-2 Years",IF(Table1[[#This Row],[Years_at_Company]]&lt;=5,"3-5 Years",IF(Table1[[#This Row],[Years_at_Company]]&lt;=10,"6-10 Years","10+ Years")))</f>
        <v>3-5 Years</v>
      </c>
    </row>
    <row r="87" spans="1:13" x14ac:dyDescent="0.3">
      <c r="A87" t="s">
        <v>130</v>
      </c>
      <c r="B87">
        <v>34</v>
      </c>
      <c r="C87" t="s">
        <v>3</v>
      </c>
      <c r="D87" t="s">
        <v>10</v>
      </c>
      <c r="E87" t="s">
        <v>20</v>
      </c>
      <c r="F87">
        <v>6000</v>
      </c>
      <c r="G87">
        <v>3</v>
      </c>
      <c r="H87">
        <v>6</v>
      </c>
      <c r="I87" t="s">
        <v>0</v>
      </c>
      <c r="J87" t="str">
        <f>IF(Table1[[#This Row],[Age]]&lt;25,"Below 25",IF(Table1[[#This Row],[Age]]&lt;35,"25-34",IF(Table1[[#This Row],[Age]]&lt;45,"35-44","45+")))</f>
        <v>25-34</v>
      </c>
      <c r="K87" t="str">
        <f>IF(Table1[[#This Row],[Monthly_Income]]&lt;4000,"Low",IF(Table1[[#This Row],[Monthly_Income]]&lt;7000,"Medium","High"))</f>
        <v>Medium</v>
      </c>
      <c r="L87">
        <f>IF(Table1[[#This Row],[Attrition]]="Yes",1,0)</f>
        <v>0</v>
      </c>
      <c r="M87" t="str">
        <f>IF(Table1[[#This Row],[Years_at_Company]]&lt;2,"0-2 Years",IF(Table1[[#This Row],[Years_at_Company]]&lt;=5,"3-5 Years",IF(Table1[[#This Row],[Years_at_Company]]&lt;=10,"6-10 Years","10+ Years")))</f>
        <v>6-10 Years</v>
      </c>
    </row>
    <row r="88" spans="1:13" x14ac:dyDescent="0.3">
      <c r="A88" t="s">
        <v>129</v>
      </c>
      <c r="B88">
        <v>29</v>
      </c>
      <c r="C88" t="s">
        <v>7</v>
      </c>
      <c r="D88" t="s">
        <v>6</v>
      </c>
      <c r="E88" t="s">
        <v>18</v>
      </c>
      <c r="F88">
        <v>4300</v>
      </c>
      <c r="G88">
        <v>3</v>
      </c>
      <c r="H88">
        <v>4</v>
      </c>
      <c r="I88" t="s">
        <v>0</v>
      </c>
      <c r="J88" t="str">
        <f>IF(Table1[[#This Row],[Age]]&lt;25,"Below 25",IF(Table1[[#This Row],[Age]]&lt;35,"25-34",IF(Table1[[#This Row],[Age]]&lt;45,"35-44","45+")))</f>
        <v>25-34</v>
      </c>
      <c r="K88" t="str">
        <f>IF(Table1[[#This Row],[Monthly_Income]]&lt;4000,"Low",IF(Table1[[#This Row],[Monthly_Income]]&lt;7000,"Medium","High"))</f>
        <v>Medium</v>
      </c>
      <c r="L88">
        <f>IF(Table1[[#This Row],[Attrition]]="Yes",1,0)</f>
        <v>0</v>
      </c>
      <c r="M88" t="str">
        <f>IF(Table1[[#This Row],[Years_at_Company]]&lt;2,"0-2 Years",IF(Table1[[#This Row],[Years_at_Company]]&lt;=5,"3-5 Years",IF(Table1[[#This Row],[Years_at_Company]]&lt;=10,"6-10 Years","10+ Years")))</f>
        <v>3-5 Years</v>
      </c>
    </row>
    <row r="89" spans="1:13" x14ac:dyDescent="0.3">
      <c r="A89" t="s">
        <v>128</v>
      </c>
      <c r="B89">
        <v>41</v>
      </c>
      <c r="C89" t="s">
        <v>3</v>
      </c>
      <c r="D89" t="s">
        <v>2</v>
      </c>
      <c r="E89" t="s">
        <v>16</v>
      </c>
      <c r="F89">
        <v>6800</v>
      </c>
      <c r="G89">
        <v>4</v>
      </c>
      <c r="H89">
        <v>10</v>
      </c>
      <c r="I89" t="s">
        <v>0</v>
      </c>
      <c r="J89" t="str">
        <f>IF(Table1[[#This Row],[Age]]&lt;25,"Below 25",IF(Table1[[#This Row],[Age]]&lt;35,"25-34",IF(Table1[[#This Row],[Age]]&lt;45,"35-44","45+")))</f>
        <v>35-44</v>
      </c>
      <c r="K89" t="str">
        <f>IF(Table1[[#This Row],[Monthly_Income]]&lt;4000,"Low",IF(Table1[[#This Row],[Monthly_Income]]&lt;7000,"Medium","High"))</f>
        <v>Medium</v>
      </c>
      <c r="L89">
        <f>IF(Table1[[#This Row],[Attrition]]="Yes",1,0)</f>
        <v>0</v>
      </c>
      <c r="M89" t="str">
        <f>IF(Table1[[#This Row],[Years_at_Company]]&lt;2,"0-2 Years",IF(Table1[[#This Row],[Years_at_Company]]&lt;=5,"3-5 Years",IF(Table1[[#This Row],[Years_at_Company]]&lt;=10,"6-10 Years","10+ Years")))</f>
        <v>6-10 Years</v>
      </c>
    </row>
    <row r="90" spans="1:13" x14ac:dyDescent="0.3">
      <c r="A90" t="s">
        <v>127</v>
      </c>
      <c r="B90">
        <v>25</v>
      </c>
      <c r="C90" t="s">
        <v>7</v>
      </c>
      <c r="D90" t="s">
        <v>14</v>
      </c>
      <c r="E90" t="s">
        <v>13</v>
      </c>
      <c r="F90">
        <v>3200</v>
      </c>
      <c r="G90">
        <v>2</v>
      </c>
      <c r="H90">
        <v>1</v>
      </c>
      <c r="I90" t="s">
        <v>12</v>
      </c>
      <c r="J90" t="str">
        <f>IF(Table1[[#This Row],[Age]]&lt;25,"Below 25",IF(Table1[[#This Row],[Age]]&lt;35,"25-34",IF(Table1[[#This Row],[Age]]&lt;45,"35-44","45+")))</f>
        <v>25-34</v>
      </c>
      <c r="K90" t="str">
        <f>IF(Table1[[#This Row],[Monthly_Income]]&lt;4000,"Low",IF(Table1[[#This Row],[Monthly_Income]]&lt;7000,"Medium","High"))</f>
        <v>Low</v>
      </c>
      <c r="L90">
        <f>IF(Table1[[#This Row],[Attrition]]="Yes",1,0)</f>
        <v>1</v>
      </c>
      <c r="M90" t="str">
        <f>IF(Table1[[#This Row],[Years_at_Company]]&lt;2,"0-2 Years",IF(Table1[[#This Row],[Years_at_Company]]&lt;=5,"3-5 Years",IF(Table1[[#This Row],[Years_at_Company]]&lt;=10,"6-10 Years","10+ Years")))</f>
        <v>0-2 Years</v>
      </c>
    </row>
    <row r="91" spans="1:13" x14ac:dyDescent="0.3">
      <c r="A91" t="s">
        <v>126</v>
      </c>
      <c r="B91">
        <v>36</v>
      </c>
      <c r="C91" t="s">
        <v>3</v>
      </c>
      <c r="D91" t="s">
        <v>10</v>
      </c>
      <c r="E91" t="s">
        <v>9</v>
      </c>
      <c r="F91">
        <v>6300</v>
      </c>
      <c r="G91">
        <v>4</v>
      </c>
      <c r="H91">
        <v>7</v>
      </c>
      <c r="I91" t="s">
        <v>0</v>
      </c>
      <c r="J91" t="str">
        <f>IF(Table1[[#This Row],[Age]]&lt;25,"Below 25",IF(Table1[[#This Row],[Age]]&lt;35,"25-34",IF(Table1[[#This Row],[Age]]&lt;45,"35-44","45+")))</f>
        <v>35-44</v>
      </c>
      <c r="K91" t="str">
        <f>IF(Table1[[#This Row],[Monthly_Income]]&lt;4000,"Low",IF(Table1[[#This Row],[Monthly_Income]]&lt;7000,"Medium","High"))</f>
        <v>Medium</v>
      </c>
      <c r="L91">
        <f>IF(Table1[[#This Row],[Attrition]]="Yes",1,0)</f>
        <v>0</v>
      </c>
      <c r="M91" t="str">
        <f>IF(Table1[[#This Row],[Years_at_Company]]&lt;2,"0-2 Years",IF(Table1[[#This Row],[Years_at_Company]]&lt;=5,"3-5 Years",IF(Table1[[#This Row],[Years_at_Company]]&lt;=10,"6-10 Years","10+ Years")))</f>
        <v>6-10 Years</v>
      </c>
    </row>
    <row r="92" spans="1:13" x14ac:dyDescent="0.3">
      <c r="A92" t="s">
        <v>125</v>
      </c>
      <c r="B92">
        <v>31</v>
      </c>
      <c r="C92" t="s">
        <v>7</v>
      </c>
      <c r="D92" t="s">
        <v>6</v>
      </c>
      <c r="E92" t="s">
        <v>5</v>
      </c>
      <c r="F92">
        <v>4700</v>
      </c>
      <c r="G92">
        <v>3</v>
      </c>
      <c r="H92">
        <v>5</v>
      </c>
      <c r="I92" t="s">
        <v>0</v>
      </c>
      <c r="J92" t="str">
        <f>IF(Table1[[#This Row],[Age]]&lt;25,"Below 25",IF(Table1[[#This Row],[Age]]&lt;35,"25-34",IF(Table1[[#This Row],[Age]]&lt;45,"35-44","45+")))</f>
        <v>25-34</v>
      </c>
      <c r="K92" t="str">
        <f>IF(Table1[[#This Row],[Monthly_Income]]&lt;4000,"Low",IF(Table1[[#This Row],[Monthly_Income]]&lt;7000,"Medium","High"))</f>
        <v>Medium</v>
      </c>
      <c r="L92">
        <f>IF(Table1[[#This Row],[Attrition]]="Yes",1,0)</f>
        <v>0</v>
      </c>
      <c r="M92" t="str">
        <f>IF(Table1[[#This Row],[Years_at_Company]]&lt;2,"0-2 Years",IF(Table1[[#This Row],[Years_at_Company]]&lt;=5,"3-5 Years",IF(Table1[[#This Row],[Years_at_Company]]&lt;=10,"6-10 Years","10+ Years")))</f>
        <v>3-5 Years</v>
      </c>
    </row>
    <row r="93" spans="1:13" x14ac:dyDescent="0.3">
      <c r="A93" t="s">
        <v>124</v>
      </c>
      <c r="B93">
        <v>48</v>
      </c>
      <c r="C93" t="s">
        <v>3</v>
      </c>
      <c r="D93" t="s">
        <v>2</v>
      </c>
      <c r="E93" t="s">
        <v>1</v>
      </c>
      <c r="F93">
        <v>9100</v>
      </c>
      <c r="G93">
        <v>4</v>
      </c>
      <c r="H93">
        <v>16</v>
      </c>
      <c r="I93" t="s">
        <v>0</v>
      </c>
      <c r="J93" t="str">
        <f>IF(Table1[[#This Row],[Age]]&lt;25,"Below 25",IF(Table1[[#This Row],[Age]]&lt;35,"25-34",IF(Table1[[#This Row],[Age]]&lt;45,"35-44","45+")))</f>
        <v>45+</v>
      </c>
      <c r="K93" t="str">
        <f>IF(Table1[[#This Row],[Monthly_Income]]&lt;4000,"Low",IF(Table1[[#This Row],[Monthly_Income]]&lt;7000,"Medium","High"))</f>
        <v>High</v>
      </c>
      <c r="L93">
        <f>IF(Table1[[#This Row],[Attrition]]="Yes",1,0)</f>
        <v>0</v>
      </c>
      <c r="M93" t="str">
        <f>IF(Table1[[#This Row],[Years_at_Company]]&lt;2,"0-2 Years",IF(Table1[[#This Row],[Years_at_Company]]&lt;=5,"3-5 Years",IF(Table1[[#This Row],[Years_at_Company]]&lt;=10,"6-10 Years","10+ Years")))</f>
        <v>10+ Years</v>
      </c>
    </row>
    <row r="94" spans="1:13" x14ac:dyDescent="0.3">
      <c r="A94" t="s">
        <v>123</v>
      </c>
      <c r="B94">
        <v>27</v>
      </c>
      <c r="C94" t="s">
        <v>3</v>
      </c>
      <c r="D94" t="s">
        <v>14</v>
      </c>
      <c r="E94" t="s">
        <v>13</v>
      </c>
      <c r="F94">
        <v>3400</v>
      </c>
      <c r="G94">
        <v>2</v>
      </c>
      <c r="H94">
        <v>2</v>
      </c>
      <c r="I94" t="s">
        <v>12</v>
      </c>
      <c r="J94" t="str">
        <f>IF(Table1[[#This Row],[Age]]&lt;25,"Below 25",IF(Table1[[#This Row],[Age]]&lt;35,"25-34",IF(Table1[[#This Row],[Age]]&lt;45,"35-44","45+")))</f>
        <v>25-34</v>
      </c>
      <c r="K94" t="str">
        <f>IF(Table1[[#This Row],[Monthly_Income]]&lt;4000,"Low",IF(Table1[[#This Row],[Monthly_Income]]&lt;7000,"Medium","High"))</f>
        <v>Low</v>
      </c>
      <c r="L94">
        <f>IF(Table1[[#This Row],[Attrition]]="Yes",1,0)</f>
        <v>1</v>
      </c>
      <c r="M94" t="str">
        <f>IF(Table1[[#This Row],[Years_at_Company]]&lt;2,"0-2 Years",IF(Table1[[#This Row],[Years_at_Company]]&lt;=5,"3-5 Years",IF(Table1[[#This Row],[Years_at_Company]]&lt;=10,"6-10 Years","10+ Years")))</f>
        <v>3-5 Years</v>
      </c>
    </row>
    <row r="95" spans="1:13" x14ac:dyDescent="0.3">
      <c r="A95" t="s">
        <v>122</v>
      </c>
      <c r="B95">
        <v>33</v>
      </c>
      <c r="C95" t="s">
        <v>7</v>
      </c>
      <c r="D95" t="s">
        <v>10</v>
      </c>
      <c r="E95" t="s">
        <v>20</v>
      </c>
      <c r="F95">
        <v>5900</v>
      </c>
      <c r="G95">
        <v>3</v>
      </c>
      <c r="H95">
        <v>6</v>
      </c>
      <c r="I95" t="s">
        <v>0</v>
      </c>
      <c r="J95" t="str">
        <f>IF(Table1[[#This Row],[Age]]&lt;25,"Below 25",IF(Table1[[#This Row],[Age]]&lt;35,"25-34",IF(Table1[[#This Row],[Age]]&lt;45,"35-44","45+")))</f>
        <v>25-34</v>
      </c>
      <c r="K95" t="str">
        <f>IF(Table1[[#This Row],[Monthly_Income]]&lt;4000,"Low",IF(Table1[[#This Row],[Monthly_Income]]&lt;7000,"Medium","High"))</f>
        <v>Medium</v>
      </c>
      <c r="L95">
        <f>IF(Table1[[#This Row],[Attrition]]="Yes",1,0)</f>
        <v>0</v>
      </c>
      <c r="M95" t="str">
        <f>IF(Table1[[#This Row],[Years_at_Company]]&lt;2,"0-2 Years",IF(Table1[[#This Row],[Years_at_Company]]&lt;=5,"3-5 Years",IF(Table1[[#This Row],[Years_at_Company]]&lt;=10,"6-10 Years","10+ Years")))</f>
        <v>6-10 Years</v>
      </c>
    </row>
    <row r="96" spans="1:13" x14ac:dyDescent="0.3">
      <c r="A96" t="s">
        <v>121</v>
      </c>
      <c r="B96">
        <v>28</v>
      </c>
      <c r="C96" t="s">
        <v>3</v>
      </c>
      <c r="D96" t="s">
        <v>6</v>
      </c>
      <c r="E96" t="s">
        <v>18</v>
      </c>
      <c r="F96">
        <v>4200</v>
      </c>
      <c r="G96">
        <v>3</v>
      </c>
      <c r="H96">
        <v>3</v>
      </c>
      <c r="I96" t="s">
        <v>0</v>
      </c>
      <c r="J96" t="str">
        <f>IF(Table1[[#This Row],[Age]]&lt;25,"Below 25",IF(Table1[[#This Row],[Age]]&lt;35,"25-34",IF(Table1[[#This Row],[Age]]&lt;45,"35-44","45+")))</f>
        <v>25-34</v>
      </c>
      <c r="K96" t="str">
        <f>IF(Table1[[#This Row],[Monthly_Income]]&lt;4000,"Low",IF(Table1[[#This Row],[Monthly_Income]]&lt;7000,"Medium","High"))</f>
        <v>Medium</v>
      </c>
      <c r="L96">
        <f>IF(Table1[[#This Row],[Attrition]]="Yes",1,0)</f>
        <v>0</v>
      </c>
      <c r="M96" t="str">
        <f>IF(Table1[[#This Row],[Years_at_Company]]&lt;2,"0-2 Years",IF(Table1[[#This Row],[Years_at_Company]]&lt;=5,"3-5 Years",IF(Table1[[#This Row],[Years_at_Company]]&lt;=10,"6-10 Years","10+ Years")))</f>
        <v>3-5 Years</v>
      </c>
    </row>
    <row r="97" spans="1:13" x14ac:dyDescent="0.3">
      <c r="A97" t="s">
        <v>120</v>
      </c>
      <c r="B97">
        <v>43</v>
      </c>
      <c r="C97" t="s">
        <v>7</v>
      </c>
      <c r="D97" t="s">
        <v>2</v>
      </c>
      <c r="E97" t="s">
        <v>23</v>
      </c>
      <c r="F97">
        <v>7400</v>
      </c>
      <c r="G97">
        <v>4</v>
      </c>
      <c r="H97">
        <v>11</v>
      </c>
      <c r="I97" t="s">
        <v>0</v>
      </c>
      <c r="J97" t="str">
        <f>IF(Table1[[#This Row],[Age]]&lt;25,"Below 25",IF(Table1[[#This Row],[Age]]&lt;35,"25-34",IF(Table1[[#This Row],[Age]]&lt;45,"35-44","45+")))</f>
        <v>35-44</v>
      </c>
      <c r="K97" t="str">
        <f>IF(Table1[[#This Row],[Monthly_Income]]&lt;4000,"Low",IF(Table1[[#This Row],[Monthly_Income]]&lt;7000,"Medium","High"))</f>
        <v>High</v>
      </c>
      <c r="L97">
        <f>IF(Table1[[#This Row],[Attrition]]="Yes",1,0)</f>
        <v>0</v>
      </c>
      <c r="M97" t="str">
        <f>IF(Table1[[#This Row],[Years_at_Company]]&lt;2,"0-2 Years",IF(Table1[[#This Row],[Years_at_Company]]&lt;=5,"3-5 Years",IF(Table1[[#This Row],[Years_at_Company]]&lt;=10,"6-10 Years","10+ Years")))</f>
        <v>10+ Years</v>
      </c>
    </row>
    <row r="98" spans="1:13" x14ac:dyDescent="0.3">
      <c r="A98" t="s">
        <v>119</v>
      </c>
      <c r="B98">
        <v>24</v>
      </c>
      <c r="C98" t="s">
        <v>7</v>
      </c>
      <c r="D98" t="s">
        <v>14</v>
      </c>
      <c r="E98" t="s">
        <v>13</v>
      </c>
      <c r="F98">
        <v>3000</v>
      </c>
      <c r="G98">
        <v>1</v>
      </c>
      <c r="H98">
        <v>1</v>
      </c>
      <c r="I98" t="s">
        <v>12</v>
      </c>
      <c r="J98" t="str">
        <f>IF(Table1[[#This Row],[Age]]&lt;25,"Below 25",IF(Table1[[#This Row],[Age]]&lt;35,"25-34",IF(Table1[[#This Row],[Age]]&lt;45,"35-44","45+")))</f>
        <v>Below 25</v>
      </c>
      <c r="K98" t="str">
        <f>IF(Table1[[#This Row],[Monthly_Income]]&lt;4000,"Low",IF(Table1[[#This Row],[Monthly_Income]]&lt;7000,"Medium","High"))</f>
        <v>Low</v>
      </c>
      <c r="L98">
        <f>IF(Table1[[#This Row],[Attrition]]="Yes",1,0)</f>
        <v>1</v>
      </c>
      <c r="M98" t="str">
        <f>IF(Table1[[#This Row],[Years_at_Company]]&lt;2,"0-2 Years",IF(Table1[[#This Row],[Years_at_Company]]&lt;=5,"3-5 Years",IF(Table1[[#This Row],[Years_at_Company]]&lt;=10,"6-10 Years","10+ Years")))</f>
        <v>0-2 Years</v>
      </c>
    </row>
    <row r="99" spans="1:13" x14ac:dyDescent="0.3">
      <c r="A99" t="s">
        <v>118</v>
      </c>
      <c r="B99">
        <v>39</v>
      </c>
      <c r="C99" t="s">
        <v>3</v>
      </c>
      <c r="D99" t="s">
        <v>10</v>
      </c>
      <c r="E99" t="s">
        <v>20</v>
      </c>
      <c r="F99">
        <v>6700</v>
      </c>
      <c r="G99">
        <v>3</v>
      </c>
      <c r="H99">
        <v>9</v>
      </c>
      <c r="I99" t="s">
        <v>0</v>
      </c>
      <c r="J99" t="str">
        <f>IF(Table1[[#This Row],[Age]]&lt;25,"Below 25",IF(Table1[[#This Row],[Age]]&lt;35,"25-34",IF(Table1[[#This Row],[Age]]&lt;45,"35-44","45+")))</f>
        <v>35-44</v>
      </c>
      <c r="K99" t="str">
        <f>IF(Table1[[#This Row],[Monthly_Income]]&lt;4000,"Low",IF(Table1[[#This Row],[Monthly_Income]]&lt;7000,"Medium","High"))</f>
        <v>Medium</v>
      </c>
      <c r="L99">
        <f>IF(Table1[[#This Row],[Attrition]]="Yes",1,0)</f>
        <v>0</v>
      </c>
      <c r="M99" t="str">
        <f>IF(Table1[[#This Row],[Years_at_Company]]&lt;2,"0-2 Years",IF(Table1[[#This Row],[Years_at_Company]]&lt;=5,"3-5 Years",IF(Table1[[#This Row],[Years_at_Company]]&lt;=10,"6-10 Years","10+ Years")))</f>
        <v>6-10 Years</v>
      </c>
    </row>
    <row r="100" spans="1:13" x14ac:dyDescent="0.3">
      <c r="A100" t="s">
        <v>117</v>
      </c>
      <c r="B100">
        <v>35</v>
      </c>
      <c r="C100" t="s">
        <v>7</v>
      </c>
      <c r="D100" t="s">
        <v>6</v>
      </c>
      <c r="E100" t="s">
        <v>5</v>
      </c>
      <c r="F100">
        <v>4900</v>
      </c>
      <c r="G100">
        <v>4</v>
      </c>
      <c r="H100">
        <v>7</v>
      </c>
      <c r="I100" t="s">
        <v>0</v>
      </c>
      <c r="J100" t="str">
        <f>IF(Table1[[#This Row],[Age]]&lt;25,"Below 25",IF(Table1[[#This Row],[Age]]&lt;35,"25-34",IF(Table1[[#This Row],[Age]]&lt;45,"35-44","45+")))</f>
        <v>35-44</v>
      </c>
      <c r="K100" t="str">
        <f>IF(Table1[[#This Row],[Monthly_Income]]&lt;4000,"Low",IF(Table1[[#This Row],[Monthly_Income]]&lt;7000,"Medium","High"))</f>
        <v>Medium</v>
      </c>
      <c r="L100">
        <f>IF(Table1[[#This Row],[Attrition]]="Yes",1,0)</f>
        <v>0</v>
      </c>
      <c r="M100" t="str">
        <f>IF(Table1[[#This Row],[Years_at_Company]]&lt;2,"0-2 Years",IF(Table1[[#This Row],[Years_at_Company]]&lt;=5,"3-5 Years",IF(Table1[[#This Row],[Years_at_Company]]&lt;=10,"6-10 Years","10+ Years")))</f>
        <v>6-10 Years</v>
      </c>
    </row>
    <row r="101" spans="1:13" x14ac:dyDescent="0.3">
      <c r="A101" t="s">
        <v>116</v>
      </c>
      <c r="B101">
        <v>46</v>
      </c>
      <c r="C101" t="s">
        <v>3</v>
      </c>
      <c r="D101" t="s">
        <v>2</v>
      </c>
      <c r="E101" t="s">
        <v>16</v>
      </c>
      <c r="F101">
        <v>7000</v>
      </c>
      <c r="G101">
        <v>3</v>
      </c>
      <c r="H101">
        <v>14</v>
      </c>
      <c r="I101" t="s">
        <v>0</v>
      </c>
      <c r="J101" t="str">
        <f>IF(Table1[[#This Row],[Age]]&lt;25,"Below 25",IF(Table1[[#This Row],[Age]]&lt;35,"25-34",IF(Table1[[#This Row],[Age]]&lt;45,"35-44","45+")))</f>
        <v>45+</v>
      </c>
      <c r="K101" t="str">
        <f>IF(Table1[[#This Row],[Monthly_Income]]&lt;4000,"Low",IF(Table1[[#This Row],[Monthly_Income]]&lt;7000,"Medium","High"))</f>
        <v>High</v>
      </c>
      <c r="L101">
        <f>IF(Table1[[#This Row],[Attrition]]="Yes",1,0)</f>
        <v>0</v>
      </c>
      <c r="M101" t="str">
        <f>IF(Table1[[#This Row],[Years_at_Company]]&lt;2,"0-2 Years",IF(Table1[[#This Row],[Years_at_Company]]&lt;=5,"3-5 Years",IF(Table1[[#This Row],[Years_at_Company]]&lt;=10,"6-10 Years","10+ Years")))</f>
        <v>10+ Years</v>
      </c>
    </row>
    <row r="102" spans="1:13" x14ac:dyDescent="0.3">
      <c r="A102" t="s">
        <v>115</v>
      </c>
      <c r="B102">
        <v>26</v>
      </c>
      <c r="C102" t="s">
        <v>3</v>
      </c>
      <c r="D102" t="s">
        <v>14</v>
      </c>
      <c r="E102" t="s">
        <v>13</v>
      </c>
      <c r="F102">
        <v>3300</v>
      </c>
      <c r="G102">
        <v>2</v>
      </c>
      <c r="H102">
        <v>2</v>
      </c>
      <c r="I102" t="s">
        <v>12</v>
      </c>
      <c r="J102" t="str">
        <f>IF(Table1[[#This Row],[Age]]&lt;25,"Below 25",IF(Table1[[#This Row],[Age]]&lt;35,"25-34",IF(Table1[[#This Row],[Age]]&lt;45,"35-44","45+")))</f>
        <v>25-34</v>
      </c>
      <c r="K102" t="str">
        <f>IF(Table1[[#This Row],[Monthly_Income]]&lt;4000,"Low",IF(Table1[[#This Row],[Monthly_Income]]&lt;7000,"Medium","High"))</f>
        <v>Low</v>
      </c>
      <c r="L102">
        <f>IF(Table1[[#This Row],[Attrition]]="Yes",1,0)</f>
        <v>1</v>
      </c>
      <c r="M102" t="str">
        <f>IF(Table1[[#This Row],[Years_at_Company]]&lt;2,"0-2 Years",IF(Table1[[#This Row],[Years_at_Company]]&lt;=5,"3-5 Years",IF(Table1[[#This Row],[Years_at_Company]]&lt;=10,"6-10 Years","10+ Years")))</f>
        <v>3-5 Years</v>
      </c>
    </row>
    <row r="103" spans="1:13" x14ac:dyDescent="0.3">
      <c r="A103" t="s">
        <v>114</v>
      </c>
      <c r="B103">
        <v>31</v>
      </c>
      <c r="C103" t="s">
        <v>7</v>
      </c>
      <c r="D103" t="s">
        <v>10</v>
      </c>
      <c r="E103" t="s">
        <v>9</v>
      </c>
      <c r="F103">
        <v>6100</v>
      </c>
      <c r="G103">
        <v>4</v>
      </c>
      <c r="H103">
        <v>5</v>
      </c>
      <c r="I103" t="s">
        <v>0</v>
      </c>
      <c r="J103" t="str">
        <f>IF(Table1[[#This Row],[Age]]&lt;25,"Below 25",IF(Table1[[#This Row],[Age]]&lt;35,"25-34",IF(Table1[[#This Row],[Age]]&lt;45,"35-44","45+")))</f>
        <v>25-34</v>
      </c>
      <c r="K103" t="str">
        <f>IF(Table1[[#This Row],[Monthly_Income]]&lt;4000,"Low",IF(Table1[[#This Row],[Monthly_Income]]&lt;7000,"Medium","High"))</f>
        <v>Medium</v>
      </c>
      <c r="L103">
        <f>IF(Table1[[#This Row],[Attrition]]="Yes",1,0)</f>
        <v>0</v>
      </c>
      <c r="M103" t="str">
        <f>IF(Table1[[#This Row],[Years_at_Company]]&lt;2,"0-2 Years",IF(Table1[[#This Row],[Years_at_Company]]&lt;=5,"3-5 Years",IF(Table1[[#This Row],[Years_at_Company]]&lt;=10,"6-10 Years","10+ Years")))</f>
        <v>3-5 Years</v>
      </c>
    </row>
    <row r="104" spans="1:13" x14ac:dyDescent="0.3">
      <c r="A104" t="s">
        <v>113</v>
      </c>
      <c r="B104">
        <v>37</v>
      </c>
      <c r="C104" t="s">
        <v>3</v>
      </c>
      <c r="D104" t="s">
        <v>6</v>
      </c>
      <c r="E104" t="s">
        <v>18</v>
      </c>
      <c r="F104">
        <v>4800</v>
      </c>
      <c r="G104">
        <v>3</v>
      </c>
      <c r="H104">
        <v>8</v>
      </c>
      <c r="I104" t="s">
        <v>0</v>
      </c>
      <c r="J104" t="str">
        <f>IF(Table1[[#This Row],[Age]]&lt;25,"Below 25",IF(Table1[[#This Row],[Age]]&lt;35,"25-34",IF(Table1[[#This Row],[Age]]&lt;45,"35-44","45+")))</f>
        <v>35-44</v>
      </c>
      <c r="K104" t="str">
        <f>IF(Table1[[#This Row],[Monthly_Income]]&lt;4000,"Low",IF(Table1[[#This Row],[Monthly_Income]]&lt;7000,"Medium","High"))</f>
        <v>Medium</v>
      </c>
      <c r="L104">
        <f>IF(Table1[[#This Row],[Attrition]]="Yes",1,0)</f>
        <v>0</v>
      </c>
      <c r="M104" t="str">
        <f>IF(Table1[[#This Row],[Years_at_Company]]&lt;2,"0-2 Years",IF(Table1[[#This Row],[Years_at_Company]]&lt;=5,"3-5 Years",IF(Table1[[#This Row],[Years_at_Company]]&lt;=10,"6-10 Years","10+ Years")))</f>
        <v>6-10 Years</v>
      </c>
    </row>
    <row r="105" spans="1:13" x14ac:dyDescent="0.3">
      <c r="A105" t="s">
        <v>112</v>
      </c>
      <c r="B105">
        <v>42</v>
      </c>
      <c r="C105" t="s">
        <v>7</v>
      </c>
      <c r="D105" t="s">
        <v>2</v>
      </c>
      <c r="E105" t="s">
        <v>23</v>
      </c>
      <c r="F105">
        <v>7500</v>
      </c>
      <c r="G105">
        <v>4</v>
      </c>
      <c r="H105">
        <v>11</v>
      </c>
      <c r="I105" t="s">
        <v>0</v>
      </c>
      <c r="J105" t="str">
        <f>IF(Table1[[#This Row],[Age]]&lt;25,"Below 25",IF(Table1[[#This Row],[Age]]&lt;35,"25-34",IF(Table1[[#This Row],[Age]]&lt;45,"35-44","45+")))</f>
        <v>35-44</v>
      </c>
      <c r="K105" t="str">
        <f>IF(Table1[[#This Row],[Monthly_Income]]&lt;4000,"Low",IF(Table1[[#This Row],[Monthly_Income]]&lt;7000,"Medium","High"))</f>
        <v>High</v>
      </c>
      <c r="L105">
        <f>IF(Table1[[#This Row],[Attrition]]="Yes",1,0)</f>
        <v>0</v>
      </c>
      <c r="M105" t="str">
        <f>IF(Table1[[#This Row],[Years_at_Company]]&lt;2,"0-2 Years",IF(Table1[[#This Row],[Years_at_Company]]&lt;=5,"3-5 Years",IF(Table1[[#This Row],[Years_at_Company]]&lt;=10,"6-10 Years","10+ Years")))</f>
        <v>10+ Years</v>
      </c>
    </row>
    <row r="106" spans="1:13" x14ac:dyDescent="0.3">
      <c r="A106" t="s">
        <v>111</v>
      </c>
      <c r="B106">
        <v>23</v>
      </c>
      <c r="C106" t="s">
        <v>7</v>
      </c>
      <c r="D106" t="s">
        <v>14</v>
      </c>
      <c r="E106" t="s">
        <v>13</v>
      </c>
      <c r="F106">
        <v>2900</v>
      </c>
      <c r="G106">
        <v>1</v>
      </c>
      <c r="H106">
        <v>1</v>
      </c>
      <c r="I106" t="s">
        <v>12</v>
      </c>
      <c r="J106" t="str">
        <f>IF(Table1[[#This Row],[Age]]&lt;25,"Below 25",IF(Table1[[#This Row],[Age]]&lt;35,"25-34",IF(Table1[[#This Row],[Age]]&lt;45,"35-44","45+")))</f>
        <v>Below 25</v>
      </c>
      <c r="K106" t="str">
        <f>IF(Table1[[#This Row],[Monthly_Income]]&lt;4000,"Low",IF(Table1[[#This Row],[Monthly_Income]]&lt;7000,"Medium","High"))</f>
        <v>Low</v>
      </c>
      <c r="L106">
        <f>IF(Table1[[#This Row],[Attrition]]="Yes",1,0)</f>
        <v>1</v>
      </c>
      <c r="M106" t="str">
        <f>IF(Table1[[#This Row],[Years_at_Company]]&lt;2,"0-2 Years",IF(Table1[[#This Row],[Years_at_Company]]&lt;=5,"3-5 Years",IF(Table1[[#This Row],[Years_at_Company]]&lt;=10,"6-10 Years","10+ Years")))</f>
        <v>0-2 Years</v>
      </c>
    </row>
    <row r="107" spans="1:13" x14ac:dyDescent="0.3">
      <c r="A107" t="s">
        <v>110</v>
      </c>
      <c r="B107">
        <v>35</v>
      </c>
      <c r="C107" t="s">
        <v>3</v>
      </c>
      <c r="D107" t="s">
        <v>10</v>
      </c>
      <c r="E107" t="s">
        <v>20</v>
      </c>
      <c r="F107">
        <v>6200</v>
      </c>
      <c r="G107">
        <v>3</v>
      </c>
      <c r="H107">
        <v>7</v>
      </c>
      <c r="I107" t="s">
        <v>0</v>
      </c>
      <c r="J107" t="str">
        <f>IF(Table1[[#This Row],[Age]]&lt;25,"Below 25",IF(Table1[[#This Row],[Age]]&lt;35,"25-34",IF(Table1[[#This Row],[Age]]&lt;45,"35-44","45+")))</f>
        <v>35-44</v>
      </c>
      <c r="K107" t="str">
        <f>IF(Table1[[#This Row],[Monthly_Income]]&lt;4000,"Low",IF(Table1[[#This Row],[Monthly_Income]]&lt;7000,"Medium","High"))</f>
        <v>Medium</v>
      </c>
      <c r="L107">
        <f>IF(Table1[[#This Row],[Attrition]]="Yes",1,0)</f>
        <v>0</v>
      </c>
      <c r="M107" t="str">
        <f>IF(Table1[[#This Row],[Years_at_Company]]&lt;2,"0-2 Years",IF(Table1[[#This Row],[Years_at_Company]]&lt;=5,"3-5 Years",IF(Table1[[#This Row],[Years_at_Company]]&lt;=10,"6-10 Years","10+ Years")))</f>
        <v>6-10 Years</v>
      </c>
    </row>
    <row r="108" spans="1:13" x14ac:dyDescent="0.3">
      <c r="A108" t="s">
        <v>109</v>
      </c>
      <c r="B108">
        <v>29</v>
      </c>
      <c r="C108" t="s">
        <v>7</v>
      </c>
      <c r="D108" t="s">
        <v>6</v>
      </c>
      <c r="E108" t="s">
        <v>5</v>
      </c>
      <c r="F108">
        <v>4400</v>
      </c>
      <c r="G108">
        <v>3</v>
      </c>
      <c r="H108">
        <v>4</v>
      </c>
      <c r="I108" t="s">
        <v>0</v>
      </c>
      <c r="J108" t="str">
        <f>IF(Table1[[#This Row],[Age]]&lt;25,"Below 25",IF(Table1[[#This Row],[Age]]&lt;35,"25-34",IF(Table1[[#This Row],[Age]]&lt;45,"35-44","45+")))</f>
        <v>25-34</v>
      </c>
      <c r="K108" t="str">
        <f>IF(Table1[[#This Row],[Monthly_Income]]&lt;4000,"Low",IF(Table1[[#This Row],[Monthly_Income]]&lt;7000,"Medium","High"))</f>
        <v>Medium</v>
      </c>
      <c r="L108">
        <f>IF(Table1[[#This Row],[Attrition]]="Yes",1,0)</f>
        <v>0</v>
      </c>
      <c r="M108" t="str">
        <f>IF(Table1[[#This Row],[Years_at_Company]]&lt;2,"0-2 Years",IF(Table1[[#This Row],[Years_at_Company]]&lt;=5,"3-5 Years",IF(Table1[[#This Row],[Years_at_Company]]&lt;=10,"6-10 Years","10+ Years")))</f>
        <v>3-5 Years</v>
      </c>
    </row>
    <row r="109" spans="1:13" x14ac:dyDescent="0.3">
      <c r="A109" t="s">
        <v>108</v>
      </c>
      <c r="B109">
        <v>45</v>
      </c>
      <c r="C109" t="s">
        <v>3</v>
      </c>
      <c r="D109" t="s">
        <v>2</v>
      </c>
      <c r="E109" t="s">
        <v>1</v>
      </c>
      <c r="F109">
        <v>8700</v>
      </c>
      <c r="G109">
        <v>4</v>
      </c>
      <c r="H109">
        <v>13</v>
      </c>
      <c r="I109" t="s">
        <v>0</v>
      </c>
      <c r="J109" t="str">
        <f>IF(Table1[[#This Row],[Age]]&lt;25,"Below 25",IF(Table1[[#This Row],[Age]]&lt;35,"25-34",IF(Table1[[#This Row],[Age]]&lt;45,"35-44","45+")))</f>
        <v>45+</v>
      </c>
      <c r="K109" t="str">
        <f>IF(Table1[[#This Row],[Monthly_Income]]&lt;4000,"Low",IF(Table1[[#This Row],[Monthly_Income]]&lt;7000,"Medium","High"))</f>
        <v>High</v>
      </c>
      <c r="L109">
        <f>IF(Table1[[#This Row],[Attrition]]="Yes",1,0)</f>
        <v>0</v>
      </c>
      <c r="M109" t="str">
        <f>IF(Table1[[#This Row],[Years_at_Company]]&lt;2,"0-2 Years",IF(Table1[[#This Row],[Years_at_Company]]&lt;=5,"3-5 Years",IF(Table1[[#This Row],[Years_at_Company]]&lt;=10,"6-10 Years","10+ Years")))</f>
        <v>10+ Years</v>
      </c>
    </row>
    <row r="110" spans="1:13" x14ac:dyDescent="0.3">
      <c r="A110" t="s">
        <v>107</v>
      </c>
      <c r="B110">
        <v>27</v>
      </c>
      <c r="C110" t="s">
        <v>7</v>
      </c>
      <c r="D110" t="s">
        <v>14</v>
      </c>
      <c r="E110" t="s">
        <v>13</v>
      </c>
      <c r="F110">
        <v>3500</v>
      </c>
      <c r="G110">
        <v>2</v>
      </c>
      <c r="H110">
        <v>2</v>
      </c>
      <c r="I110" t="s">
        <v>12</v>
      </c>
      <c r="J110" t="str">
        <f>IF(Table1[[#This Row],[Age]]&lt;25,"Below 25",IF(Table1[[#This Row],[Age]]&lt;35,"25-34",IF(Table1[[#This Row],[Age]]&lt;45,"35-44","45+")))</f>
        <v>25-34</v>
      </c>
      <c r="K110" t="str">
        <f>IF(Table1[[#This Row],[Monthly_Income]]&lt;4000,"Low",IF(Table1[[#This Row],[Monthly_Income]]&lt;7000,"Medium","High"))</f>
        <v>Low</v>
      </c>
      <c r="L110">
        <f>IF(Table1[[#This Row],[Attrition]]="Yes",1,0)</f>
        <v>1</v>
      </c>
      <c r="M110" t="str">
        <f>IF(Table1[[#This Row],[Years_at_Company]]&lt;2,"0-2 Years",IF(Table1[[#This Row],[Years_at_Company]]&lt;=5,"3-5 Years",IF(Table1[[#This Row],[Years_at_Company]]&lt;=10,"6-10 Years","10+ Years")))</f>
        <v>3-5 Years</v>
      </c>
    </row>
    <row r="111" spans="1:13" x14ac:dyDescent="0.3">
      <c r="A111" t="s">
        <v>106</v>
      </c>
      <c r="B111">
        <v>38</v>
      </c>
      <c r="C111" t="s">
        <v>3</v>
      </c>
      <c r="D111" t="s">
        <v>10</v>
      </c>
      <c r="E111" t="s">
        <v>9</v>
      </c>
      <c r="F111">
        <v>6400</v>
      </c>
      <c r="G111">
        <v>4</v>
      </c>
      <c r="H111">
        <v>8</v>
      </c>
      <c r="I111" t="s">
        <v>0</v>
      </c>
      <c r="J111" t="str">
        <f>IF(Table1[[#This Row],[Age]]&lt;25,"Below 25",IF(Table1[[#This Row],[Age]]&lt;35,"25-34",IF(Table1[[#This Row],[Age]]&lt;45,"35-44","45+")))</f>
        <v>35-44</v>
      </c>
      <c r="K111" t="str">
        <f>IF(Table1[[#This Row],[Monthly_Income]]&lt;4000,"Low",IF(Table1[[#This Row],[Monthly_Income]]&lt;7000,"Medium","High"))</f>
        <v>Medium</v>
      </c>
      <c r="L111">
        <f>IF(Table1[[#This Row],[Attrition]]="Yes",1,0)</f>
        <v>0</v>
      </c>
      <c r="M111" t="str">
        <f>IF(Table1[[#This Row],[Years_at_Company]]&lt;2,"0-2 Years",IF(Table1[[#This Row],[Years_at_Company]]&lt;=5,"3-5 Years",IF(Table1[[#This Row],[Years_at_Company]]&lt;=10,"6-10 Years","10+ Years")))</f>
        <v>6-10 Years</v>
      </c>
    </row>
    <row r="112" spans="1:13" x14ac:dyDescent="0.3">
      <c r="A112" t="s">
        <v>105</v>
      </c>
      <c r="B112">
        <v>32</v>
      </c>
      <c r="C112" t="s">
        <v>7</v>
      </c>
      <c r="D112" t="s">
        <v>6</v>
      </c>
      <c r="E112" t="s">
        <v>18</v>
      </c>
      <c r="F112">
        <v>4600</v>
      </c>
      <c r="G112">
        <v>3</v>
      </c>
      <c r="H112">
        <v>5</v>
      </c>
      <c r="I112" t="s">
        <v>0</v>
      </c>
      <c r="J112" t="str">
        <f>IF(Table1[[#This Row],[Age]]&lt;25,"Below 25",IF(Table1[[#This Row],[Age]]&lt;35,"25-34",IF(Table1[[#This Row],[Age]]&lt;45,"35-44","45+")))</f>
        <v>25-34</v>
      </c>
      <c r="K112" t="str">
        <f>IF(Table1[[#This Row],[Monthly_Income]]&lt;4000,"Low",IF(Table1[[#This Row],[Monthly_Income]]&lt;7000,"Medium","High"))</f>
        <v>Medium</v>
      </c>
      <c r="L112">
        <f>IF(Table1[[#This Row],[Attrition]]="Yes",1,0)</f>
        <v>0</v>
      </c>
      <c r="M112" t="str">
        <f>IF(Table1[[#This Row],[Years_at_Company]]&lt;2,"0-2 Years",IF(Table1[[#This Row],[Years_at_Company]]&lt;=5,"3-5 Years",IF(Table1[[#This Row],[Years_at_Company]]&lt;=10,"6-10 Years","10+ Years")))</f>
        <v>3-5 Years</v>
      </c>
    </row>
    <row r="113" spans="1:13" x14ac:dyDescent="0.3">
      <c r="A113" t="s">
        <v>104</v>
      </c>
      <c r="B113">
        <v>40</v>
      </c>
      <c r="C113" t="s">
        <v>3</v>
      </c>
      <c r="D113" t="s">
        <v>2</v>
      </c>
      <c r="E113" t="s">
        <v>16</v>
      </c>
      <c r="F113">
        <v>6900</v>
      </c>
      <c r="G113">
        <v>3</v>
      </c>
      <c r="H113">
        <v>10</v>
      </c>
      <c r="I113" t="s">
        <v>0</v>
      </c>
      <c r="J113" t="str">
        <f>IF(Table1[[#This Row],[Age]]&lt;25,"Below 25",IF(Table1[[#This Row],[Age]]&lt;35,"25-34",IF(Table1[[#This Row],[Age]]&lt;45,"35-44","45+")))</f>
        <v>35-44</v>
      </c>
      <c r="K113" t="str">
        <f>IF(Table1[[#This Row],[Monthly_Income]]&lt;4000,"Low",IF(Table1[[#This Row],[Monthly_Income]]&lt;7000,"Medium","High"))</f>
        <v>Medium</v>
      </c>
      <c r="L113">
        <f>IF(Table1[[#This Row],[Attrition]]="Yes",1,0)</f>
        <v>0</v>
      </c>
      <c r="M113" t="str">
        <f>IF(Table1[[#This Row],[Years_at_Company]]&lt;2,"0-2 Years",IF(Table1[[#This Row],[Years_at_Company]]&lt;=5,"3-5 Years",IF(Table1[[#This Row],[Years_at_Company]]&lt;=10,"6-10 Years","10+ Years")))</f>
        <v>6-10 Years</v>
      </c>
    </row>
    <row r="114" spans="1:13" x14ac:dyDescent="0.3">
      <c r="A114" t="s">
        <v>103</v>
      </c>
      <c r="B114">
        <v>25</v>
      </c>
      <c r="C114" t="s">
        <v>3</v>
      </c>
      <c r="D114" t="s">
        <v>14</v>
      </c>
      <c r="E114" t="s">
        <v>13</v>
      </c>
      <c r="F114">
        <v>3100</v>
      </c>
      <c r="G114">
        <v>2</v>
      </c>
      <c r="H114">
        <v>1</v>
      </c>
      <c r="I114" t="s">
        <v>12</v>
      </c>
      <c r="J114" t="str">
        <f>IF(Table1[[#This Row],[Age]]&lt;25,"Below 25",IF(Table1[[#This Row],[Age]]&lt;35,"25-34",IF(Table1[[#This Row],[Age]]&lt;45,"35-44","45+")))</f>
        <v>25-34</v>
      </c>
      <c r="K114" t="str">
        <f>IF(Table1[[#This Row],[Monthly_Income]]&lt;4000,"Low",IF(Table1[[#This Row],[Monthly_Income]]&lt;7000,"Medium","High"))</f>
        <v>Low</v>
      </c>
      <c r="L114">
        <f>IF(Table1[[#This Row],[Attrition]]="Yes",1,0)</f>
        <v>1</v>
      </c>
      <c r="M114" t="str">
        <f>IF(Table1[[#This Row],[Years_at_Company]]&lt;2,"0-2 Years",IF(Table1[[#This Row],[Years_at_Company]]&lt;=5,"3-5 Years",IF(Table1[[#This Row],[Years_at_Company]]&lt;=10,"6-10 Years","10+ Years")))</f>
        <v>0-2 Years</v>
      </c>
    </row>
    <row r="115" spans="1:13" x14ac:dyDescent="0.3">
      <c r="A115" t="s">
        <v>102</v>
      </c>
      <c r="B115">
        <v>34</v>
      </c>
      <c r="C115" t="s">
        <v>7</v>
      </c>
      <c r="D115" t="s">
        <v>10</v>
      </c>
      <c r="E115" t="s">
        <v>20</v>
      </c>
      <c r="F115">
        <v>5900</v>
      </c>
      <c r="G115">
        <v>3</v>
      </c>
      <c r="H115">
        <v>6</v>
      </c>
      <c r="I115" t="s">
        <v>0</v>
      </c>
      <c r="J115" t="str">
        <f>IF(Table1[[#This Row],[Age]]&lt;25,"Below 25",IF(Table1[[#This Row],[Age]]&lt;35,"25-34",IF(Table1[[#This Row],[Age]]&lt;45,"35-44","45+")))</f>
        <v>25-34</v>
      </c>
      <c r="K115" t="str">
        <f>IF(Table1[[#This Row],[Monthly_Income]]&lt;4000,"Low",IF(Table1[[#This Row],[Monthly_Income]]&lt;7000,"Medium","High"))</f>
        <v>Medium</v>
      </c>
      <c r="L115">
        <f>IF(Table1[[#This Row],[Attrition]]="Yes",1,0)</f>
        <v>0</v>
      </c>
      <c r="M115" t="str">
        <f>IF(Table1[[#This Row],[Years_at_Company]]&lt;2,"0-2 Years",IF(Table1[[#This Row],[Years_at_Company]]&lt;=5,"3-5 Years",IF(Table1[[#This Row],[Years_at_Company]]&lt;=10,"6-10 Years","10+ Years")))</f>
        <v>6-10 Years</v>
      </c>
    </row>
    <row r="116" spans="1:13" x14ac:dyDescent="0.3">
      <c r="A116" t="s">
        <v>101</v>
      </c>
      <c r="B116">
        <v>30</v>
      </c>
      <c r="C116" t="s">
        <v>3</v>
      </c>
      <c r="D116" t="s">
        <v>6</v>
      </c>
      <c r="E116" t="s">
        <v>5</v>
      </c>
      <c r="F116">
        <v>4500</v>
      </c>
      <c r="G116">
        <v>3</v>
      </c>
      <c r="H116">
        <v>4</v>
      </c>
      <c r="I116" t="s">
        <v>0</v>
      </c>
      <c r="J116" t="str">
        <f>IF(Table1[[#This Row],[Age]]&lt;25,"Below 25",IF(Table1[[#This Row],[Age]]&lt;35,"25-34",IF(Table1[[#This Row],[Age]]&lt;45,"35-44","45+")))</f>
        <v>25-34</v>
      </c>
      <c r="K116" t="str">
        <f>IF(Table1[[#This Row],[Monthly_Income]]&lt;4000,"Low",IF(Table1[[#This Row],[Monthly_Income]]&lt;7000,"Medium","High"))</f>
        <v>Medium</v>
      </c>
      <c r="L116">
        <f>IF(Table1[[#This Row],[Attrition]]="Yes",1,0)</f>
        <v>0</v>
      </c>
      <c r="M116" t="str">
        <f>IF(Table1[[#This Row],[Years_at_Company]]&lt;2,"0-2 Years",IF(Table1[[#This Row],[Years_at_Company]]&lt;=5,"3-5 Years",IF(Table1[[#This Row],[Years_at_Company]]&lt;=10,"6-10 Years","10+ Years")))</f>
        <v>3-5 Years</v>
      </c>
    </row>
    <row r="117" spans="1:13" x14ac:dyDescent="0.3">
      <c r="A117" t="s">
        <v>100</v>
      </c>
      <c r="B117">
        <v>44</v>
      </c>
      <c r="C117" t="s">
        <v>7</v>
      </c>
      <c r="D117" t="s">
        <v>2</v>
      </c>
      <c r="E117" t="s">
        <v>23</v>
      </c>
      <c r="F117">
        <v>7600</v>
      </c>
      <c r="G117">
        <v>4</v>
      </c>
      <c r="H117">
        <v>12</v>
      </c>
      <c r="I117" t="s">
        <v>0</v>
      </c>
      <c r="J117" t="str">
        <f>IF(Table1[[#This Row],[Age]]&lt;25,"Below 25",IF(Table1[[#This Row],[Age]]&lt;35,"25-34",IF(Table1[[#This Row],[Age]]&lt;45,"35-44","45+")))</f>
        <v>35-44</v>
      </c>
      <c r="K117" t="str">
        <f>IF(Table1[[#This Row],[Monthly_Income]]&lt;4000,"Low",IF(Table1[[#This Row],[Monthly_Income]]&lt;7000,"Medium","High"))</f>
        <v>High</v>
      </c>
      <c r="L117">
        <f>IF(Table1[[#This Row],[Attrition]]="Yes",1,0)</f>
        <v>0</v>
      </c>
      <c r="M117" t="str">
        <f>IF(Table1[[#This Row],[Years_at_Company]]&lt;2,"0-2 Years",IF(Table1[[#This Row],[Years_at_Company]]&lt;=5,"3-5 Years",IF(Table1[[#This Row],[Years_at_Company]]&lt;=10,"6-10 Years","10+ Years")))</f>
        <v>10+ Years</v>
      </c>
    </row>
    <row r="118" spans="1:13" x14ac:dyDescent="0.3">
      <c r="A118" t="s">
        <v>99</v>
      </c>
      <c r="B118">
        <v>24</v>
      </c>
      <c r="C118" t="s">
        <v>3</v>
      </c>
      <c r="D118" t="s">
        <v>14</v>
      </c>
      <c r="E118" t="s">
        <v>13</v>
      </c>
      <c r="F118">
        <v>3000</v>
      </c>
      <c r="G118">
        <v>1</v>
      </c>
      <c r="H118">
        <v>1</v>
      </c>
      <c r="I118" t="s">
        <v>12</v>
      </c>
      <c r="J118" t="str">
        <f>IF(Table1[[#This Row],[Age]]&lt;25,"Below 25",IF(Table1[[#This Row],[Age]]&lt;35,"25-34",IF(Table1[[#This Row],[Age]]&lt;45,"35-44","45+")))</f>
        <v>Below 25</v>
      </c>
      <c r="K118" t="str">
        <f>IF(Table1[[#This Row],[Monthly_Income]]&lt;4000,"Low",IF(Table1[[#This Row],[Monthly_Income]]&lt;7000,"Medium","High"))</f>
        <v>Low</v>
      </c>
      <c r="L118">
        <f>IF(Table1[[#This Row],[Attrition]]="Yes",1,0)</f>
        <v>1</v>
      </c>
      <c r="M118" t="str">
        <f>IF(Table1[[#This Row],[Years_at_Company]]&lt;2,"0-2 Years",IF(Table1[[#This Row],[Years_at_Company]]&lt;=5,"3-5 Years",IF(Table1[[#This Row],[Years_at_Company]]&lt;=10,"6-10 Years","10+ Years")))</f>
        <v>0-2 Years</v>
      </c>
    </row>
    <row r="119" spans="1:13" x14ac:dyDescent="0.3">
      <c r="A119" t="s">
        <v>98</v>
      </c>
      <c r="B119">
        <v>36</v>
      </c>
      <c r="C119" t="s">
        <v>7</v>
      </c>
      <c r="D119" t="s">
        <v>10</v>
      </c>
      <c r="E119" t="s">
        <v>9</v>
      </c>
      <c r="F119">
        <v>6200</v>
      </c>
      <c r="G119">
        <v>4</v>
      </c>
      <c r="H119">
        <v>7</v>
      </c>
      <c r="I119" t="s">
        <v>0</v>
      </c>
      <c r="J119" t="str">
        <f>IF(Table1[[#This Row],[Age]]&lt;25,"Below 25",IF(Table1[[#This Row],[Age]]&lt;35,"25-34",IF(Table1[[#This Row],[Age]]&lt;45,"35-44","45+")))</f>
        <v>35-44</v>
      </c>
      <c r="K119" t="str">
        <f>IF(Table1[[#This Row],[Monthly_Income]]&lt;4000,"Low",IF(Table1[[#This Row],[Monthly_Income]]&lt;7000,"Medium","High"))</f>
        <v>Medium</v>
      </c>
      <c r="L119">
        <f>IF(Table1[[#This Row],[Attrition]]="Yes",1,0)</f>
        <v>0</v>
      </c>
      <c r="M119" t="str">
        <f>IF(Table1[[#This Row],[Years_at_Company]]&lt;2,"0-2 Years",IF(Table1[[#This Row],[Years_at_Company]]&lt;=5,"3-5 Years",IF(Table1[[#This Row],[Years_at_Company]]&lt;=10,"6-10 Years","10+ Years")))</f>
        <v>6-10 Years</v>
      </c>
    </row>
    <row r="120" spans="1:13" x14ac:dyDescent="0.3">
      <c r="A120" t="s">
        <v>97</v>
      </c>
      <c r="B120">
        <v>28</v>
      </c>
      <c r="C120" t="s">
        <v>3</v>
      </c>
      <c r="D120" t="s">
        <v>6</v>
      </c>
      <c r="E120" t="s">
        <v>18</v>
      </c>
      <c r="F120">
        <v>4300</v>
      </c>
      <c r="G120">
        <v>3</v>
      </c>
      <c r="H120">
        <v>3</v>
      </c>
      <c r="I120" t="s">
        <v>0</v>
      </c>
      <c r="J120" t="str">
        <f>IF(Table1[[#This Row],[Age]]&lt;25,"Below 25",IF(Table1[[#This Row],[Age]]&lt;35,"25-34",IF(Table1[[#This Row],[Age]]&lt;45,"35-44","45+")))</f>
        <v>25-34</v>
      </c>
      <c r="K120" t="str">
        <f>IF(Table1[[#This Row],[Monthly_Income]]&lt;4000,"Low",IF(Table1[[#This Row],[Monthly_Income]]&lt;7000,"Medium","High"))</f>
        <v>Medium</v>
      </c>
      <c r="L120">
        <f>IF(Table1[[#This Row],[Attrition]]="Yes",1,0)</f>
        <v>0</v>
      </c>
      <c r="M120" t="str">
        <f>IF(Table1[[#This Row],[Years_at_Company]]&lt;2,"0-2 Years",IF(Table1[[#This Row],[Years_at_Company]]&lt;=5,"3-5 Years",IF(Table1[[#This Row],[Years_at_Company]]&lt;=10,"6-10 Years","10+ Years")))</f>
        <v>3-5 Years</v>
      </c>
    </row>
    <row r="121" spans="1:13" x14ac:dyDescent="0.3">
      <c r="A121" t="s">
        <v>96</v>
      </c>
      <c r="B121">
        <v>47</v>
      </c>
      <c r="C121" t="s">
        <v>7</v>
      </c>
      <c r="D121" t="s">
        <v>2</v>
      </c>
      <c r="E121" t="s">
        <v>1</v>
      </c>
      <c r="F121">
        <v>9200</v>
      </c>
      <c r="G121">
        <v>4</v>
      </c>
      <c r="H121">
        <v>15</v>
      </c>
      <c r="I121" t="s">
        <v>0</v>
      </c>
      <c r="J121" t="str">
        <f>IF(Table1[[#This Row],[Age]]&lt;25,"Below 25",IF(Table1[[#This Row],[Age]]&lt;35,"25-34",IF(Table1[[#This Row],[Age]]&lt;45,"35-44","45+")))</f>
        <v>45+</v>
      </c>
      <c r="K121" t="str">
        <f>IF(Table1[[#This Row],[Monthly_Income]]&lt;4000,"Low",IF(Table1[[#This Row],[Monthly_Income]]&lt;7000,"Medium","High"))</f>
        <v>High</v>
      </c>
      <c r="L121">
        <f>IF(Table1[[#This Row],[Attrition]]="Yes",1,0)</f>
        <v>0</v>
      </c>
      <c r="M121" t="str">
        <f>IF(Table1[[#This Row],[Years_at_Company]]&lt;2,"0-2 Years",IF(Table1[[#This Row],[Years_at_Company]]&lt;=5,"3-5 Years",IF(Table1[[#This Row],[Years_at_Company]]&lt;=10,"6-10 Years","10+ Years")))</f>
        <v>10+ Years</v>
      </c>
    </row>
    <row r="122" spans="1:13" x14ac:dyDescent="0.3">
      <c r="A122" t="s">
        <v>95</v>
      </c>
      <c r="B122">
        <v>27</v>
      </c>
      <c r="C122" t="s">
        <v>7</v>
      </c>
      <c r="D122" t="s">
        <v>14</v>
      </c>
      <c r="E122" t="s">
        <v>13</v>
      </c>
      <c r="F122">
        <v>3400</v>
      </c>
      <c r="G122">
        <v>2</v>
      </c>
      <c r="H122">
        <v>2</v>
      </c>
      <c r="I122" t="s">
        <v>12</v>
      </c>
      <c r="J122" t="str">
        <f>IF(Table1[[#This Row],[Age]]&lt;25,"Below 25",IF(Table1[[#This Row],[Age]]&lt;35,"25-34",IF(Table1[[#This Row],[Age]]&lt;45,"35-44","45+")))</f>
        <v>25-34</v>
      </c>
      <c r="K122" t="str">
        <f>IF(Table1[[#This Row],[Monthly_Income]]&lt;4000,"Low",IF(Table1[[#This Row],[Monthly_Income]]&lt;7000,"Medium","High"))</f>
        <v>Low</v>
      </c>
      <c r="L122">
        <f>IF(Table1[[#This Row],[Attrition]]="Yes",1,0)</f>
        <v>1</v>
      </c>
      <c r="M122" t="str">
        <f>IF(Table1[[#This Row],[Years_at_Company]]&lt;2,"0-2 Years",IF(Table1[[#This Row],[Years_at_Company]]&lt;=5,"3-5 Years",IF(Table1[[#This Row],[Years_at_Company]]&lt;=10,"6-10 Years","10+ Years")))</f>
        <v>3-5 Years</v>
      </c>
    </row>
    <row r="123" spans="1:13" x14ac:dyDescent="0.3">
      <c r="A123" t="s">
        <v>94</v>
      </c>
      <c r="B123">
        <v>33</v>
      </c>
      <c r="C123" t="s">
        <v>3</v>
      </c>
      <c r="D123" t="s">
        <v>10</v>
      </c>
      <c r="E123" t="s">
        <v>20</v>
      </c>
      <c r="F123">
        <v>6000</v>
      </c>
      <c r="G123">
        <v>3</v>
      </c>
      <c r="H123">
        <v>6</v>
      </c>
      <c r="I123" t="s">
        <v>0</v>
      </c>
      <c r="J123" t="str">
        <f>IF(Table1[[#This Row],[Age]]&lt;25,"Below 25",IF(Table1[[#This Row],[Age]]&lt;35,"25-34",IF(Table1[[#This Row],[Age]]&lt;45,"35-44","45+")))</f>
        <v>25-34</v>
      </c>
      <c r="K123" t="str">
        <f>IF(Table1[[#This Row],[Monthly_Income]]&lt;4000,"Low",IF(Table1[[#This Row],[Monthly_Income]]&lt;7000,"Medium","High"))</f>
        <v>Medium</v>
      </c>
      <c r="L123">
        <f>IF(Table1[[#This Row],[Attrition]]="Yes",1,0)</f>
        <v>0</v>
      </c>
      <c r="M123" t="str">
        <f>IF(Table1[[#This Row],[Years_at_Company]]&lt;2,"0-2 Years",IF(Table1[[#This Row],[Years_at_Company]]&lt;=5,"3-5 Years",IF(Table1[[#This Row],[Years_at_Company]]&lt;=10,"6-10 Years","10+ Years")))</f>
        <v>6-10 Years</v>
      </c>
    </row>
    <row r="124" spans="1:13" x14ac:dyDescent="0.3">
      <c r="A124" t="s">
        <v>93</v>
      </c>
      <c r="B124">
        <v>39</v>
      </c>
      <c r="C124" t="s">
        <v>7</v>
      </c>
      <c r="D124" t="s">
        <v>6</v>
      </c>
      <c r="E124" t="s">
        <v>5</v>
      </c>
      <c r="F124">
        <v>5000</v>
      </c>
      <c r="G124">
        <v>4</v>
      </c>
      <c r="H124">
        <v>9</v>
      </c>
      <c r="I124" t="s">
        <v>0</v>
      </c>
      <c r="J124" t="str">
        <f>IF(Table1[[#This Row],[Age]]&lt;25,"Below 25",IF(Table1[[#This Row],[Age]]&lt;35,"25-34",IF(Table1[[#This Row],[Age]]&lt;45,"35-44","45+")))</f>
        <v>35-44</v>
      </c>
      <c r="K124" t="str">
        <f>IF(Table1[[#This Row],[Monthly_Income]]&lt;4000,"Low",IF(Table1[[#This Row],[Monthly_Income]]&lt;7000,"Medium","High"))</f>
        <v>Medium</v>
      </c>
      <c r="L124">
        <f>IF(Table1[[#This Row],[Attrition]]="Yes",1,0)</f>
        <v>0</v>
      </c>
      <c r="M124" t="str">
        <f>IF(Table1[[#This Row],[Years_at_Company]]&lt;2,"0-2 Years",IF(Table1[[#This Row],[Years_at_Company]]&lt;=5,"3-5 Years",IF(Table1[[#This Row],[Years_at_Company]]&lt;=10,"6-10 Years","10+ Years")))</f>
        <v>6-10 Years</v>
      </c>
    </row>
    <row r="125" spans="1:13" x14ac:dyDescent="0.3">
      <c r="A125" t="s">
        <v>92</v>
      </c>
      <c r="B125">
        <v>41</v>
      </c>
      <c r="C125" t="s">
        <v>3</v>
      </c>
      <c r="D125" t="s">
        <v>2</v>
      </c>
      <c r="E125" t="s">
        <v>16</v>
      </c>
      <c r="F125">
        <v>6800</v>
      </c>
      <c r="G125">
        <v>3</v>
      </c>
      <c r="H125">
        <v>10</v>
      </c>
      <c r="I125" t="s">
        <v>0</v>
      </c>
      <c r="J125" t="str">
        <f>IF(Table1[[#This Row],[Age]]&lt;25,"Below 25",IF(Table1[[#This Row],[Age]]&lt;35,"25-34",IF(Table1[[#This Row],[Age]]&lt;45,"35-44","45+")))</f>
        <v>35-44</v>
      </c>
      <c r="K125" t="str">
        <f>IF(Table1[[#This Row],[Monthly_Income]]&lt;4000,"Low",IF(Table1[[#This Row],[Monthly_Income]]&lt;7000,"Medium","High"))</f>
        <v>Medium</v>
      </c>
      <c r="L125">
        <f>IF(Table1[[#This Row],[Attrition]]="Yes",1,0)</f>
        <v>0</v>
      </c>
      <c r="M125" t="str">
        <f>IF(Table1[[#This Row],[Years_at_Company]]&lt;2,"0-2 Years",IF(Table1[[#This Row],[Years_at_Company]]&lt;=5,"3-5 Years",IF(Table1[[#This Row],[Years_at_Company]]&lt;=10,"6-10 Years","10+ Years")))</f>
        <v>6-10 Years</v>
      </c>
    </row>
    <row r="126" spans="1:13" x14ac:dyDescent="0.3">
      <c r="A126" t="s">
        <v>91</v>
      </c>
      <c r="B126">
        <v>22</v>
      </c>
      <c r="C126" t="s">
        <v>7</v>
      </c>
      <c r="D126" t="s">
        <v>14</v>
      </c>
      <c r="E126" t="s">
        <v>13</v>
      </c>
      <c r="F126">
        <v>2900</v>
      </c>
      <c r="G126">
        <v>1</v>
      </c>
      <c r="H126">
        <v>1</v>
      </c>
      <c r="I126" t="s">
        <v>12</v>
      </c>
      <c r="J126" t="str">
        <f>IF(Table1[[#This Row],[Age]]&lt;25,"Below 25",IF(Table1[[#This Row],[Age]]&lt;35,"25-34",IF(Table1[[#This Row],[Age]]&lt;45,"35-44","45+")))</f>
        <v>Below 25</v>
      </c>
      <c r="K126" t="str">
        <f>IF(Table1[[#This Row],[Monthly_Income]]&lt;4000,"Low",IF(Table1[[#This Row],[Monthly_Income]]&lt;7000,"Medium","High"))</f>
        <v>Low</v>
      </c>
      <c r="L126">
        <f>IF(Table1[[#This Row],[Attrition]]="Yes",1,0)</f>
        <v>1</v>
      </c>
      <c r="M126" t="str">
        <f>IF(Table1[[#This Row],[Years_at_Company]]&lt;2,"0-2 Years",IF(Table1[[#This Row],[Years_at_Company]]&lt;=5,"3-5 Years",IF(Table1[[#This Row],[Years_at_Company]]&lt;=10,"6-10 Years","10+ Years")))</f>
        <v>0-2 Years</v>
      </c>
    </row>
    <row r="127" spans="1:13" x14ac:dyDescent="0.3">
      <c r="A127" t="s">
        <v>90</v>
      </c>
      <c r="B127">
        <v>35</v>
      </c>
      <c r="C127" t="s">
        <v>3</v>
      </c>
      <c r="D127" t="s">
        <v>10</v>
      </c>
      <c r="E127" t="s">
        <v>9</v>
      </c>
      <c r="F127">
        <v>6500</v>
      </c>
      <c r="G127">
        <v>4</v>
      </c>
      <c r="H127">
        <v>7</v>
      </c>
      <c r="I127" t="s">
        <v>0</v>
      </c>
      <c r="J127" t="str">
        <f>IF(Table1[[#This Row],[Age]]&lt;25,"Below 25",IF(Table1[[#This Row],[Age]]&lt;35,"25-34",IF(Table1[[#This Row],[Age]]&lt;45,"35-44","45+")))</f>
        <v>35-44</v>
      </c>
      <c r="K127" t="str">
        <f>IF(Table1[[#This Row],[Monthly_Income]]&lt;4000,"Low",IF(Table1[[#This Row],[Monthly_Income]]&lt;7000,"Medium","High"))</f>
        <v>Medium</v>
      </c>
      <c r="L127">
        <f>IF(Table1[[#This Row],[Attrition]]="Yes",1,0)</f>
        <v>0</v>
      </c>
      <c r="M127" t="str">
        <f>IF(Table1[[#This Row],[Years_at_Company]]&lt;2,"0-2 Years",IF(Table1[[#This Row],[Years_at_Company]]&lt;=5,"3-5 Years",IF(Table1[[#This Row],[Years_at_Company]]&lt;=10,"6-10 Years","10+ Years")))</f>
        <v>6-10 Years</v>
      </c>
    </row>
    <row r="128" spans="1:13" x14ac:dyDescent="0.3">
      <c r="A128" t="s">
        <v>89</v>
      </c>
      <c r="B128">
        <v>31</v>
      </c>
      <c r="C128" t="s">
        <v>7</v>
      </c>
      <c r="D128" t="s">
        <v>6</v>
      </c>
      <c r="E128" t="s">
        <v>18</v>
      </c>
      <c r="F128">
        <v>4500</v>
      </c>
      <c r="G128">
        <v>3</v>
      </c>
      <c r="H128">
        <v>5</v>
      </c>
      <c r="I128" t="s">
        <v>0</v>
      </c>
      <c r="J128" t="str">
        <f>IF(Table1[[#This Row],[Age]]&lt;25,"Below 25",IF(Table1[[#This Row],[Age]]&lt;35,"25-34",IF(Table1[[#This Row],[Age]]&lt;45,"35-44","45+")))</f>
        <v>25-34</v>
      </c>
      <c r="K128" t="str">
        <f>IF(Table1[[#This Row],[Monthly_Income]]&lt;4000,"Low",IF(Table1[[#This Row],[Monthly_Income]]&lt;7000,"Medium","High"))</f>
        <v>Medium</v>
      </c>
      <c r="L128">
        <f>IF(Table1[[#This Row],[Attrition]]="Yes",1,0)</f>
        <v>0</v>
      </c>
      <c r="M128" t="str">
        <f>IF(Table1[[#This Row],[Years_at_Company]]&lt;2,"0-2 Years",IF(Table1[[#This Row],[Years_at_Company]]&lt;=5,"3-5 Years",IF(Table1[[#This Row],[Years_at_Company]]&lt;=10,"6-10 Years","10+ Years")))</f>
        <v>3-5 Years</v>
      </c>
    </row>
    <row r="129" spans="1:13" x14ac:dyDescent="0.3">
      <c r="A129" t="s">
        <v>88</v>
      </c>
      <c r="B129">
        <v>43</v>
      </c>
      <c r="C129" t="s">
        <v>3</v>
      </c>
      <c r="D129" t="s">
        <v>2</v>
      </c>
      <c r="E129" t="s">
        <v>23</v>
      </c>
      <c r="F129">
        <v>7300</v>
      </c>
      <c r="G129">
        <v>4</v>
      </c>
      <c r="H129">
        <v>12</v>
      </c>
      <c r="I129" t="s">
        <v>0</v>
      </c>
      <c r="J129" t="str">
        <f>IF(Table1[[#This Row],[Age]]&lt;25,"Below 25",IF(Table1[[#This Row],[Age]]&lt;35,"25-34",IF(Table1[[#This Row],[Age]]&lt;45,"35-44","45+")))</f>
        <v>35-44</v>
      </c>
      <c r="K129" t="str">
        <f>IF(Table1[[#This Row],[Monthly_Income]]&lt;4000,"Low",IF(Table1[[#This Row],[Monthly_Income]]&lt;7000,"Medium","High"))</f>
        <v>High</v>
      </c>
      <c r="L129">
        <f>IF(Table1[[#This Row],[Attrition]]="Yes",1,0)</f>
        <v>0</v>
      </c>
      <c r="M129" t="str">
        <f>IF(Table1[[#This Row],[Years_at_Company]]&lt;2,"0-2 Years",IF(Table1[[#This Row],[Years_at_Company]]&lt;=5,"3-5 Years",IF(Table1[[#This Row],[Years_at_Company]]&lt;=10,"6-10 Years","10+ Years")))</f>
        <v>10+ Years</v>
      </c>
    </row>
    <row r="130" spans="1:13" x14ac:dyDescent="0.3">
      <c r="A130" t="s">
        <v>87</v>
      </c>
      <c r="B130">
        <v>26</v>
      </c>
      <c r="C130" t="s">
        <v>3</v>
      </c>
      <c r="D130" t="s">
        <v>14</v>
      </c>
      <c r="E130" t="s">
        <v>13</v>
      </c>
      <c r="F130">
        <v>3300</v>
      </c>
      <c r="G130">
        <v>2</v>
      </c>
      <c r="H130">
        <v>2</v>
      </c>
      <c r="I130" t="s">
        <v>12</v>
      </c>
      <c r="J130" t="str">
        <f>IF(Table1[[#This Row],[Age]]&lt;25,"Below 25",IF(Table1[[#This Row],[Age]]&lt;35,"25-34",IF(Table1[[#This Row],[Age]]&lt;45,"35-44","45+")))</f>
        <v>25-34</v>
      </c>
      <c r="K130" t="str">
        <f>IF(Table1[[#This Row],[Monthly_Income]]&lt;4000,"Low",IF(Table1[[#This Row],[Monthly_Income]]&lt;7000,"Medium","High"))</f>
        <v>Low</v>
      </c>
      <c r="L130">
        <f>IF(Table1[[#This Row],[Attrition]]="Yes",1,0)</f>
        <v>1</v>
      </c>
      <c r="M130" t="str">
        <f>IF(Table1[[#This Row],[Years_at_Company]]&lt;2,"0-2 Years",IF(Table1[[#This Row],[Years_at_Company]]&lt;=5,"3-5 Years",IF(Table1[[#This Row],[Years_at_Company]]&lt;=10,"6-10 Years","10+ Years")))</f>
        <v>3-5 Years</v>
      </c>
    </row>
    <row r="131" spans="1:13" x14ac:dyDescent="0.3">
      <c r="A131" t="s">
        <v>86</v>
      </c>
      <c r="B131">
        <v>37</v>
      </c>
      <c r="C131" t="s">
        <v>7</v>
      </c>
      <c r="D131" t="s">
        <v>10</v>
      </c>
      <c r="E131" t="s">
        <v>20</v>
      </c>
      <c r="F131">
        <v>6300</v>
      </c>
      <c r="G131">
        <v>3</v>
      </c>
      <c r="H131">
        <v>8</v>
      </c>
      <c r="I131" t="s">
        <v>0</v>
      </c>
      <c r="J131" t="str">
        <f>IF(Table1[[#This Row],[Age]]&lt;25,"Below 25",IF(Table1[[#This Row],[Age]]&lt;35,"25-34",IF(Table1[[#This Row],[Age]]&lt;45,"35-44","45+")))</f>
        <v>35-44</v>
      </c>
      <c r="K131" t="str">
        <f>IF(Table1[[#This Row],[Monthly_Income]]&lt;4000,"Low",IF(Table1[[#This Row],[Monthly_Income]]&lt;7000,"Medium","High"))</f>
        <v>Medium</v>
      </c>
      <c r="L131">
        <f>IF(Table1[[#This Row],[Attrition]]="Yes",1,0)</f>
        <v>0</v>
      </c>
      <c r="M131" t="str">
        <f>IF(Table1[[#This Row],[Years_at_Company]]&lt;2,"0-2 Years",IF(Table1[[#This Row],[Years_at_Company]]&lt;=5,"3-5 Years",IF(Table1[[#This Row],[Years_at_Company]]&lt;=10,"6-10 Years","10+ Years")))</f>
        <v>6-10 Years</v>
      </c>
    </row>
    <row r="132" spans="1:13" x14ac:dyDescent="0.3">
      <c r="A132" t="s">
        <v>85</v>
      </c>
      <c r="B132">
        <v>29</v>
      </c>
      <c r="C132" t="s">
        <v>3</v>
      </c>
      <c r="D132" t="s">
        <v>6</v>
      </c>
      <c r="E132" t="s">
        <v>5</v>
      </c>
      <c r="F132">
        <v>4400</v>
      </c>
      <c r="G132">
        <v>3</v>
      </c>
      <c r="H132">
        <v>4</v>
      </c>
      <c r="I132" t="s">
        <v>0</v>
      </c>
      <c r="J132" t="str">
        <f>IF(Table1[[#This Row],[Age]]&lt;25,"Below 25",IF(Table1[[#This Row],[Age]]&lt;35,"25-34",IF(Table1[[#This Row],[Age]]&lt;45,"35-44","45+")))</f>
        <v>25-34</v>
      </c>
      <c r="K132" t="str">
        <f>IF(Table1[[#This Row],[Monthly_Income]]&lt;4000,"Low",IF(Table1[[#This Row],[Monthly_Income]]&lt;7000,"Medium","High"))</f>
        <v>Medium</v>
      </c>
      <c r="L132">
        <f>IF(Table1[[#This Row],[Attrition]]="Yes",1,0)</f>
        <v>0</v>
      </c>
      <c r="M132" t="str">
        <f>IF(Table1[[#This Row],[Years_at_Company]]&lt;2,"0-2 Years",IF(Table1[[#This Row],[Years_at_Company]]&lt;=5,"3-5 Years",IF(Table1[[#This Row],[Years_at_Company]]&lt;=10,"6-10 Years","10+ Years")))</f>
        <v>3-5 Years</v>
      </c>
    </row>
    <row r="133" spans="1:13" x14ac:dyDescent="0.3">
      <c r="A133" t="s">
        <v>84</v>
      </c>
      <c r="B133">
        <v>46</v>
      </c>
      <c r="C133" t="s">
        <v>7</v>
      </c>
      <c r="D133" t="s">
        <v>2</v>
      </c>
      <c r="E133" t="s">
        <v>1</v>
      </c>
      <c r="F133">
        <v>8900</v>
      </c>
      <c r="G133">
        <v>4</v>
      </c>
      <c r="H133">
        <v>14</v>
      </c>
      <c r="I133" t="s">
        <v>0</v>
      </c>
      <c r="J133" t="str">
        <f>IF(Table1[[#This Row],[Age]]&lt;25,"Below 25",IF(Table1[[#This Row],[Age]]&lt;35,"25-34",IF(Table1[[#This Row],[Age]]&lt;45,"35-44","45+")))</f>
        <v>45+</v>
      </c>
      <c r="K133" t="str">
        <f>IF(Table1[[#This Row],[Monthly_Income]]&lt;4000,"Low",IF(Table1[[#This Row],[Monthly_Income]]&lt;7000,"Medium","High"))</f>
        <v>High</v>
      </c>
      <c r="L133">
        <f>IF(Table1[[#This Row],[Attrition]]="Yes",1,0)</f>
        <v>0</v>
      </c>
      <c r="M133" t="str">
        <f>IF(Table1[[#This Row],[Years_at_Company]]&lt;2,"0-2 Years",IF(Table1[[#This Row],[Years_at_Company]]&lt;=5,"3-5 Years",IF(Table1[[#This Row],[Years_at_Company]]&lt;=10,"6-10 Years","10+ Years")))</f>
        <v>10+ Years</v>
      </c>
    </row>
    <row r="134" spans="1:13" x14ac:dyDescent="0.3">
      <c r="A134" t="s">
        <v>83</v>
      </c>
      <c r="B134">
        <v>25</v>
      </c>
      <c r="C134" t="s">
        <v>7</v>
      </c>
      <c r="D134" t="s">
        <v>14</v>
      </c>
      <c r="E134" t="s">
        <v>13</v>
      </c>
      <c r="F134">
        <v>3100</v>
      </c>
      <c r="G134">
        <v>2</v>
      </c>
      <c r="H134">
        <v>1</v>
      </c>
      <c r="I134" t="s">
        <v>12</v>
      </c>
      <c r="J134" t="str">
        <f>IF(Table1[[#This Row],[Age]]&lt;25,"Below 25",IF(Table1[[#This Row],[Age]]&lt;35,"25-34",IF(Table1[[#This Row],[Age]]&lt;45,"35-44","45+")))</f>
        <v>25-34</v>
      </c>
      <c r="K134" t="str">
        <f>IF(Table1[[#This Row],[Monthly_Income]]&lt;4000,"Low",IF(Table1[[#This Row],[Monthly_Income]]&lt;7000,"Medium","High"))</f>
        <v>Low</v>
      </c>
      <c r="L134">
        <f>IF(Table1[[#This Row],[Attrition]]="Yes",1,0)</f>
        <v>1</v>
      </c>
      <c r="M134" t="str">
        <f>IF(Table1[[#This Row],[Years_at_Company]]&lt;2,"0-2 Years",IF(Table1[[#This Row],[Years_at_Company]]&lt;=5,"3-5 Years",IF(Table1[[#This Row],[Years_at_Company]]&lt;=10,"6-10 Years","10+ Years")))</f>
        <v>0-2 Years</v>
      </c>
    </row>
    <row r="135" spans="1:13" x14ac:dyDescent="0.3">
      <c r="A135" t="s">
        <v>82</v>
      </c>
      <c r="B135">
        <v>34</v>
      </c>
      <c r="C135" t="s">
        <v>3</v>
      </c>
      <c r="D135" t="s">
        <v>10</v>
      </c>
      <c r="E135" t="s">
        <v>9</v>
      </c>
      <c r="F135">
        <v>6100</v>
      </c>
      <c r="G135">
        <v>4</v>
      </c>
      <c r="H135">
        <v>6</v>
      </c>
      <c r="I135" t="s">
        <v>0</v>
      </c>
      <c r="J135" t="str">
        <f>IF(Table1[[#This Row],[Age]]&lt;25,"Below 25",IF(Table1[[#This Row],[Age]]&lt;35,"25-34",IF(Table1[[#This Row],[Age]]&lt;45,"35-44","45+")))</f>
        <v>25-34</v>
      </c>
      <c r="K135" t="str">
        <f>IF(Table1[[#This Row],[Monthly_Income]]&lt;4000,"Low",IF(Table1[[#This Row],[Monthly_Income]]&lt;7000,"Medium","High"))</f>
        <v>Medium</v>
      </c>
      <c r="L135">
        <f>IF(Table1[[#This Row],[Attrition]]="Yes",1,0)</f>
        <v>0</v>
      </c>
      <c r="M135" t="str">
        <f>IF(Table1[[#This Row],[Years_at_Company]]&lt;2,"0-2 Years",IF(Table1[[#This Row],[Years_at_Company]]&lt;=5,"3-5 Years",IF(Table1[[#This Row],[Years_at_Company]]&lt;=10,"6-10 Years","10+ Years")))</f>
        <v>6-10 Years</v>
      </c>
    </row>
    <row r="136" spans="1:13" x14ac:dyDescent="0.3">
      <c r="A136" t="s">
        <v>81</v>
      </c>
      <c r="B136">
        <v>30</v>
      </c>
      <c r="C136" t="s">
        <v>7</v>
      </c>
      <c r="D136" t="s">
        <v>6</v>
      </c>
      <c r="E136" t="s">
        <v>18</v>
      </c>
      <c r="F136">
        <v>4600</v>
      </c>
      <c r="G136">
        <v>3</v>
      </c>
      <c r="H136">
        <v>4</v>
      </c>
      <c r="I136" t="s">
        <v>0</v>
      </c>
      <c r="J136" t="str">
        <f>IF(Table1[[#This Row],[Age]]&lt;25,"Below 25",IF(Table1[[#This Row],[Age]]&lt;35,"25-34",IF(Table1[[#This Row],[Age]]&lt;45,"35-44","45+")))</f>
        <v>25-34</v>
      </c>
      <c r="K136" t="str">
        <f>IF(Table1[[#This Row],[Monthly_Income]]&lt;4000,"Low",IF(Table1[[#This Row],[Monthly_Income]]&lt;7000,"Medium","High"))</f>
        <v>Medium</v>
      </c>
      <c r="L136">
        <f>IF(Table1[[#This Row],[Attrition]]="Yes",1,0)</f>
        <v>0</v>
      </c>
      <c r="M136" t="str">
        <f>IF(Table1[[#This Row],[Years_at_Company]]&lt;2,"0-2 Years",IF(Table1[[#This Row],[Years_at_Company]]&lt;=5,"3-5 Years",IF(Table1[[#This Row],[Years_at_Company]]&lt;=10,"6-10 Years","10+ Years")))</f>
        <v>3-5 Years</v>
      </c>
    </row>
    <row r="137" spans="1:13" x14ac:dyDescent="0.3">
      <c r="A137" t="s">
        <v>80</v>
      </c>
      <c r="B137">
        <v>42</v>
      </c>
      <c r="C137" t="s">
        <v>3</v>
      </c>
      <c r="D137" t="s">
        <v>2</v>
      </c>
      <c r="E137" t="s">
        <v>16</v>
      </c>
      <c r="F137">
        <v>7000</v>
      </c>
      <c r="G137">
        <v>3</v>
      </c>
      <c r="H137">
        <v>11</v>
      </c>
      <c r="I137" t="s">
        <v>0</v>
      </c>
      <c r="J137" t="str">
        <f>IF(Table1[[#This Row],[Age]]&lt;25,"Below 25",IF(Table1[[#This Row],[Age]]&lt;35,"25-34",IF(Table1[[#This Row],[Age]]&lt;45,"35-44","45+")))</f>
        <v>35-44</v>
      </c>
      <c r="K137" t="str">
        <f>IF(Table1[[#This Row],[Monthly_Income]]&lt;4000,"Low",IF(Table1[[#This Row],[Monthly_Income]]&lt;7000,"Medium","High"))</f>
        <v>High</v>
      </c>
      <c r="L137">
        <f>IF(Table1[[#This Row],[Attrition]]="Yes",1,0)</f>
        <v>0</v>
      </c>
      <c r="M137" t="str">
        <f>IF(Table1[[#This Row],[Years_at_Company]]&lt;2,"0-2 Years",IF(Table1[[#This Row],[Years_at_Company]]&lt;=5,"3-5 Years",IF(Table1[[#This Row],[Years_at_Company]]&lt;=10,"6-10 Years","10+ Years")))</f>
        <v>10+ Years</v>
      </c>
    </row>
    <row r="138" spans="1:13" x14ac:dyDescent="0.3">
      <c r="A138" t="s">
        <v>79</v>
      </c>
      <c r="B138">
        <v>23</v>
      </c>
      <c r="C138" t="s">
        <v>3</v>
      </c>
      <c r="D138" t="s">
        <v>14</v>
      </c>
      <c r="E138" t="s">
        <v>13</v>
      </c>
      <c r="F138">
        <v>3000</v>
      </c>
      <c r="G138">
        <v>1</v>
      </c>
      <c r="H138">
        <v>1</v>
      </c>
      <c r="I138" t="s">
        <v>12</v>
      </c>
      <c r="J138" t="str">
        <f>IF(Table1[[#This Row],[Age]]&lt;25,"Below 25",IF(Table1[[#This Row],[Age]]&lt;35,"25-34",IF(Table1[[#This Row],[Age]]&lt;45,"35-44","45+")))</f>
        <v>Below 25</v>
      </c>
      <c r="K138" t="str">
        <f>IF(Table1[[#This Row],[Monthly_Income]]&lt;4000,"Low",IF(Table1[[#This Row],[Monthly_Income]]&lt;7000,"Medium","High"))</f>
        <v>Low</v>
      </c>
      <c r="L138">
        <f>IF(Table1[[#This Row],[Attrition]]="Yes",1,0)</f>
        <v>1</v>
      </c>
      <c r="M138" t="str">
        <f>IF(Table1[[#This Row],[Years_at_Company]]&lt;2,"0-2 Years",IF(Table1[[#This Row],[Years_at_Company]]&lt;=5,"3-5 Years",IF(Table1[[#This Row],[Years_at_Company]]&lt;=10,"6-10 Years","10+ Years")))</f>
        <v>0-2 Years</v>
      </c>
    </row>
    <row r="139" spans="1:13" x14ac:dyDescent="0.3">
      <c r="A139" t="s">
        <v>78</v>
      </c>
      <c r="B139">
        <v>38</v>
      </c>
      <c r="C139" t="s">
        <v>7</v>
      </c>
      <c r="D139" t="s">
        <v>10</v>
      </c>
      <c r="E139" t="s">
        <v>20</v>
      </c>
      <c r="F139">
        <v>6600</v>
      </c>
      <c r="G139">
        <v>3</v>
      </c>
      <c r="H139">
        <v>9</v>
      </c>
      <c r="I139" t="s">
        <v>0</v>
      </c>
      <c r="J139" t="str">
        <f>IF(Table1[[#This Row],[Age]]&lt;25,"Below 25",IF(Table1[[#This Row],[Age]]&lt;35,"25-34",IF(Table1[[#This Row],[Age]]&lt;45,"35-44","45+")))</f>
        <v>35-44</v>
      </c>
      <c r="K139" t="str">
        <f>IF(Table1[[#This Row],[Monthly_Income]]&lt;4000,"Low",IF(Table1[[#This Row],[Monthly_Income]]&lt;7000,"Medium","High"))</f>
        <v>Medium</v>
      </c>
      <c r="L139">
        <f>IF(Table1[[#This Row],[Attrition]]="Yes",1,0)</f>
        <v>0</v>
      </c>
      <c r="M139" t="str">
        <f>IF(Table1[[#This Row],[Years_at_Company]]&lt;2,"0-2 Years",IF(Table1[[#This Row],[Years_at_Company]]&lt;=5,"3-5 Years",IF(Table1[[#This Row],[Years_at_Company]]&lt;=10,"6-10 Years","10+ Years")))</f>
        <v>6-10 Years</v>
      </c>
    </row>
    <row r="140" spans="1:13" x14ac:dyDescent="0.3">
      <c r="A140" t="s">
        <v>77</v>
      </c>
      <c r="B140">
        <v>32</v>
      </c>
      <c r="C140" t="s">
        <v>3</v>
      </c>
      <c r="D140" t="s">
        <v>6</v>
      </c>
      <c r="E140" t="s">
        <v>5</v>
      </c>
      <c r="F140">
        <v>4700</v>
      </c>
      <c r="G140">
        <v>4</v>
      </c>
      <c r="H140">
        <v>6</v>
      </c>
      <c r="I140" t="s">
        <v>0</v>
      </c>
      <c r="J140" t="str">
        <f>IF(Table1[[#This Row],[Age]]&lt;25,"Below 25",IF(Table1[[#This Row],[Age]]&lt;35,"25-34",IF(Table1[[#This Row],[Age]]&lt;45,"35-44","45+")))</f>
        <v>25-34</v>
      </c>
      <c r="K140" t="str">
        <f>IF(Table1[[#This Row],[Monthly_Income]]&lt;4000,"Low",IF(Table1[[#This Row],[Monthly_Income]]&lt;7000,"Medium","High"))</f>
        <v>Medium</v>
      </c>
      <c r="L140">
        <f>IF(Table1[[#This Row],[Attrition]]="Yes",1,0)</f>
        <v>0</v>
      </c>
      <c r="M140" t="str">
        <f>IF(Table1[[#This Row],[Years_at_Company]]&lt;2,"0-2 Years",IF(Table1[[#This Row],[Years_at_Company]]&lt;=5,"3-5 Years",IF(Table1[[#This Row],[Years_at_Company]]&lt;=10,"6-10 Years","10+ Years")))</f>
        <v>6-10 Years</v>
      </c>
    </row>
    <row r="141" spans="1:13" x14ac:dyDescent="0.3">
      <c r="A141" t="s">
        <v>76</v>
      </c>
      <c r="B141">
        <v>45</v>
      </c>
      <c r="C141" t="s">
        <v>7</v>
      </c>
      <c r="D141" t="s">
        <v>2</v>
      </c>
      <c r="E141" t="s">
        <v>23</v>
      </c>
      <c r="F141">
        <v>7500</v>
      </c>
      <c r="G141">
        <v>4</v>
      </c>
      <c r="H141">
        <v>13</v>
      </c>
      <c r="I141" t="s">
        <v>0</v>
      </c>
      <c r="J141" t="str">
        <f>IF(Table1[[#This Row],[Age]]&lt;25,"Below 25",IF(Table1[[#This Row],[Age]]&lt;35,"25-34",IF(Table1[[#This Row],[Age]]&lt;45,"35-44","45+")))</f>
        <v>45+</v>
      </c>
      <c r="K141" t="str">
        <f>IF(Table1[[#This Row],[Monthly_Income]]&lt;4000,"Low",IF(Table1[[#This Row],[Monthly_Income]]&lt;7000,"Medium","High"))</f>
        <v>High</v>
      </c>
      <c r="L141">
        <f>IF(Table1[[#This Row],[Attrition]]="Yes",1,0)</f>
        <v>0</v>
      </c>
      <c r="M141" t="str">
        <f>IF(Table1[[#This Row],[Years_at_Company]]&lt;2,"0-2 Years",IF(Table1[[#This Row],[Years_at_Company]]&lt;=5,"3-5 Years",IF(Table1[[#This Row],[Years_at_Company]]&lt;=10,"6-10 Years","10+ Years")))</f>
        <v>10+ Years</v>
      </c>
    </row>
    <row r="142" spans="1:13" x14ac:dyDescent="0.3">
      <c r="A142" t="s">
        <v>75</v>
      </c>
      <c r="B142">
        <v>28</v>
      </c>
      <c r="C142" t="s">
        <v>7</v>
      </c>
      <c r="D142" t="s">
        <v>14</v>
      </c>
      <c r="E142" t="s">
        <v>13</v>
      </c>
      <c r="F142">
        <v>3500</v>
      </c>
      <c r="G142">
        <v>2</v>
      </c>
      <c r="H142">
        <v>3</v>
      </c>
      <c r="I142" t="s">
        <v>0</v>
      </c>
      <c r="J142" t="str">
        <f>IF(Table1[[#This Row],[Age]]&lt;25,"Below 25",IF(Table1[[#This Row],[Age]]&lt;35,"25-34",IF(Table1[[#This Row],[Age]]&lt;45,"35-44","45+")))</f>
        <v>25-34</v>
      </c>
      <c r="K142" t="str">
        <f>IF(Table1[[#This Row],[Monthly_Income]]&lt;4000,"Low",IF(Table1[[#This Row],[Monthly_Income]]&lt;7000,"Medium","High"))</f>
        <v>Low</v>
      </c>
      <c r="L142">
        <f>IF(Table1[[#This Row],[Attrition]]="Yes",1,0)</f>
        <v>0</v>
      </c>
      <c r="M142" t="str">
        <f>IF(Table1[[#This Row],[Years_at_Company]]&lt;2,"0-2 Years",IF(Table1[[#This Row],[Years_at_Company]]&lt;=5,"3-5 Years",IF(Table1[[#This Row],[Years_at_Company]]&lt;=10,"6-10 Years","10+ Years")))</f>
        <v>3-5 Years</v>
      </c>
    </row>
    <row r="143" spans="1:13" x14ac:dyDescent="0.3">
      <c r="A143" t="s">
        <v>74</v>
      </c>
      <c r="B143">
        <v>36</v>
      </c>
      <c r="C143" t="s">
        <v>3</v>
      </c>
      <c r="D143" t="s">
        <v>10</v>
      </c>
      <c r="E143" t="s">
        <v>9</v>
      </c>
      <c r="F143">
        <v>6200</v>
      </c>
      <c r="G143">
        <v>4</v>
      </c>
      <c r="H143">
        <v>7</v>
      </c>
      <c r="I143" t="s">
        <v>0</v>
      </c>
      <c r="J143" t="str">
        <f>IF(Table1[[#This Row],[Age]]&lt;25,"Below 25",IF(Table1[[#This Row],[Age]]&lt;35,"25-34",IF(Table1[[#This Row],[Age]]&lt;45,"35-44","45+")))</f>
        <v>35-44</v>
      </c>
      <c r="K143" t="str">
        <f>IF(Table1[[#This Row],[Monthly_Income]]&lt;4000,"Low",IF(Table1[[#This Row],[Monthly_Income]]&lt;7000,"Medium","High"))</f>
        <v>Medium</v>
      </c>
      <c r="L143">
        <f>IF(Table1[[#This Row],[Attrition]]="Yes",1,0)</f>
        <v>0</v>
      </c>
      <c r="M143" t="str">
        <f>IF(Table1[[#This Row],[Years_at_Company]]&lt;2,"0-2 Years",IF(Table1[[#This Row],[Years_at_Company]]&lt;=5,"3-5 Years",IF(Table1[[#This Row],[Years_at_Company]]&lt;=10,"6-10 Years","10+ Years")))</f>
        <v>6-10 Years</v>
      </c>
    </row>
    <row r="144" spans="1:13" x14ac:dyDescent="0.3">
      <c r="A144" t="s">
        <v>73</v>
      </c>
      <c r="B144">
        <v>24</v>
      </c>
      <c r="C144" t="s">
        <v>7</v>
      </c>
      <c r="D144" t="s">
        <v>6</v>
      </c>
      <c r="E144" t="s">
        <v>5</v>
      </c>
      <c r="F144">
        <v>3900</v>
      </c>
      <c r="G144">
        <v>1</v>
      </c>
      <c r="H144">
        <v>1</v>
      </c>
      <c r="I144" t="s">
        <v>12</v>
      </c>
      <c r="J144" t="str">
        <f>IF(Table1[[#This Row],[Age]]&lt;25,"Below 25",IF(Table1[[#This Row],[Age]]&lt;35,"25-34",IF(Table1[[#This Row],[Age]]&lt;45,"35-44","45+")))</f>
        <v>Below 25</v>
      </c>
      <c r="K144" t="str">
        <f>IF(Table1[[#This Row],[Monthly_Income]]&lt;4000,"Low",IF(Table1[[#This Row],[Monthly_Income]]&lt;7000,"Medium","High"))</f>
        <v>Low</v>
      </c>
      <c r="L144">
        <f>IF(Table1[[#This Row],[Attrition]]="Yes",1,0)</f>
        <v>1</v>
      </c>
      <c r="M144" t="str">
        <f>IF(Table1[[#This Row],[Years_at_Company]]&lt;2,"0-2 Years",IF(Table1[[#This Row],[Years_at_Company]]&lt;=5,"3-5 Years",IF(Table1[[#This Row],[Years_at_Company]]&lt;=10,"6-10 Years","10+ Years")))</f>
        <v>0-2 Years</v>
      </c>
    </row>
    <row r="145" spans="1:13" x14ac:dyDescent="0.3">
      <c r="A145" t="s">
        <v>72</v>
      </c>
      <c r="B145">
        <v>40</v>
      </c>
      <c r="C145" t="s">
        <v>3</v>
      </c>
      <c r="D145" t="s">
        <v>2</v>
      </c>
      <c r="E145" t="s">
        <v>16</v>
      </c>
      <c r="F145">
        <v>6900</v>
      </c>
      <c r="G145">
        <v>3</v>
      </c>
      <c r="H145">
        <v>10</v>
      </c>
      <c r="I145" t="s">
        <v>0</v>
      </c>
      <c r="J145" t="str">
        <f>IF(Table1[[#This Row],[Age]]&lt;25,"Below 25",IF(Table1[[#This Row],[Age]]&lt;35,"25-34",IF(Table1[[#This Row],[Age]]&lt;45,"35-44","45+")))</f>
        <v>35-44</v>
      </c>
      <c r="K145" t="str">
        <f>IF(Table1[[#This Row],[Monthly_Income]]&lt;4000,"Low",IF(Table1[[#This Row],[Monthly_Income]]&lt;7000,"Medium","High"))</f>
        <v>Medium</v>
      </c>
      <c r="L145">
        <f>IF(Table1[[#This Row],[Attrition]]="Yes",1,0)</f>
        <v>0</v>
      </c>
      <c r="M145" t="str">
        <f>IF(Table1[[#This Row],[Years_at_Company]]&lt;2,"0-2 Years",IF(Table1[[#This Row],[Years_at_Company]]&lt;=5,"3-5 Years",IF(Table1[[#This Row],[Years_at_Company]]&lt;=10,"6-10 Years","10+ Years")))</f>
        <v>6-10 Years</v>
      </c>
    </row>
    <row r="146" spans="1:13" x14ac:dyDescent="0.3">
      <c r="A146" t="s">
        <v>71</v>
      </c>
      <c r="B146">
        <v>27</v>
      </c>
      <c r="C146" t="s">
        <v>3</v>
      </c>
      <c r="D146" t="s">
        <v>14</v>
      </c>
      <c r="E146" t="s">
        <v>13</v>
      </c>
      <c r="F146">
        <v>3400</v>
      </c>
      <c r="G146">
        <v>2</v>
      </c>
      <c r="H146">
        <v>2</v>
      </c>
      <c r="I146" t="s">
        <v>12</v>
      </c>
      <c r="J146" t="str">
        <f>IF(Table1[[#This Row],[Age]]&lt;25,"Below 25",IF(Table1[[#This Row],[Age]]&lt;35,"25-34",IF(Table1[[#This Row],[Age]]&lt;45,"35-44","45+")))</f>
        <v>25-34</v>
      </c>
      <c r="K146" t="str">
        <f>IF(Table1[[#This Row],[Monthly_Income]]&lt;4000,"Low",IF(Table1[[#This Row],[Monthly_Income]]&lt;7000,"Medium","High"))</f>
        <v>Low</v>
      </c>
      <c r="L146">
        <f>IF(Table1[[#This Row],[Attrition]]="Yes",1,0)</f>
        <v>1</v>
      </c>
      <c r="M146" t="str">
        <f>IF(Table1[[#This Row],[Years_at_Company]]&lt;2,"0-2 Years",IF(Table1[[#This Row],[Years_at_Company]]&lt;=5,"3-5 Years",IF(Table1[[#This Row],[Years_at_Company]]&lt;=10,"6-10 Years","10+ Years")))</f>
        <v>3-5 Years</v>
      </c>
    </row>
    <row r="147" spans="1:13" x14ac:dyDescent="0.3">
      <c r="A147" t="s">
        <v>70</v>
      </c>
      <c r="B147">
        <v>33</v>
      </c>
      <c r="C147" t="s">
        <v>7</v>
      </c>
      <c r="D147" t="s">
        <v>10</v>
      </c>
      <c r="E147" t="s">
        <v>20</v>
      </c>
      <c r="F147">
        <v>5900</v>
      </c>
      <c r="G147">
        <v>3</v>
      </c>
      <c r="H147">
        <v>6</v>
      </c>
      <c r="I147" t="s">
        <v>0</v>
      </c>
      <c r="J147" t="str">
        <f>IF(Table1[[#This Row],[Age]]&lt;25,"Below 25",IF(Table1[[#This Row],[Age]]&lt;35,"25-34",IF(Table1[[#This Row],[Age]]&lt;45,"35-44","45+")))</f>
        <v>25-34</v>
      </c>
      <c r="K147" t="str">
        <f>IF(Table1[[#This Row],[Monthly_Income]]&lt;4000,"Low",IF(Table1[[#This Row],[Monthly_Income]]&lt;7000,"Medium","High"))</f>
        <v>Medium</v>
      </c>
      <c r="L147">
        <f>IF(Table1[[#This Row],[Attrition]]="Yes",1,0)</f>
        <v>0</v>
      </c>
      <c r="M147" t="str">
        <f>IF(Table1[[#This Row],[Years_at_Company]]&lt;2,"0-2 Years",IF(Table1[[#This Row],[Years_at_Company]]&lt;=5,"3-5 Years",IF(Table1[[#This Row],[Years_at_Company]]&lt;=10,"6-10 Years","10+ Years")))</f>
        <v>6-10 Years</v>
      </c>
    </row>
    <row r="148" spans="1:13" x14ac:dyDescent="0.3">
      <c r="A148" t="s">
        <v>69</v>
      </c>
      <c r="B148">
        <v>39</v>
      </c>
      <c r="C148" t="s">
        <v>3</v>
      </c>
      <c r="D148" t="s">
        <v>6</v>
      </c>
      <c r="E148" t="s">
        <v>18</v>
      </c>
      <c r="F148">
        <v>4900</v>
      </c>
      <c r="G148">
        <v>4</v>
      </c>
      <c r="H148">
        <v>9</v>
      </c>
      <c r="I148" t="s">
        <v>0</v>
      </c>
      <c r="J148" t="str">
        <f>IF(Table1[[#This Row],[Age]]&lt;25,"Below 25",IF(Table1[[#This Row],[Age]]&lt;35,"25-34",IF(Table1[[#This Row],[Age]]&lt;45,"35-44","45+")))</f>
        <v>35-44</v>
      </c>
      <c r="K148" t="str">
        <f>IF(Table1[[#This Row],[Monthly_Income]]&lt;4000,"Low",IF(Table1[[#This Row],[Monthly_Income]]&lt;7000,"Medium","High"))</f>
        <v>Medium</v>
      </c>
      <c r="L148">
        <f>IF(Table1[[#This Row],[Attrition]]="Yes",1,0)</f>
        <v>0</v>
      </c>
      <c r="M148" t="str">
        <f>IF(Table1[[#This Row],[Years_at_Company]]&lt;2,"0-2 Years",IF(Table1[[#This Row],[Years_at_Company]]&lt;=5,"3-5 Years",IF(Table1[[#This Row],[Years_at_Company]]&lt;=10,"6-10 Years","10+ Years")))</f>
        <v>6-10 Years</v>
      </c>
    </row>
    <row r="149" spans="1:13" x14ac:dyDescent="0.3">
      <c r="A149" t="s">
        <v>68</v>
      </c>
      <c r="B149">
        <v>44</v>
      </c>
      <c r="C149" t="s">
        <v>7</v>
      </c>
      <c r="D149" t="s">
        <v>2</v>
      </c>
      <c r="E149" t="s">
        <v>23</v>
      </c>
      <c r="F149">
        <v>7600</v>
      </c>
      <c r="G149">
        <v>4</v>
      </c>
      <c r="H149">
        <v>12</v>
      </c>
      <c r="I149" t="s">
        <v>0</v>
      </c>
      <c r="J149" t="str">
        <f>IF(Table1[[#This Row],[Age]]&lt;25,"Below 25",IF(Table1[[#This Row],[Age]]&lt;35,"25-34",IF(Table1[[#This Row],[Age]]&lt;45,"35-44","45+")))</f>
        <v>35-44</v>
      </c>
      <c r="K149" t="str">
        <f>IF(Table1[[#This Row],[Monthly_Income]]&lt;4000,"Low",IF(Table1[[#This Row],[Monthly_Income]]&lt;7000,"Medium","High"))</f>
        <v>High</v>
      </c>
      <c r="L149">
        <f>IF(Table1[[#This Row],[Attrition]]="Yes",1,0)</f>
        <v>0</v>
      </c>
      <c r="M149" t="str">
        <f>IF(Table1[[#This Row],[Years_at_Company]]&lt;2,"0-2 Years",IF(Table1[[#This Row],[Years_at_Company]]&lt;=5,"3-5 Years",IF(Table1[[#This Row],[Years_at_Company]]&lt;=10,"6-10 Years","10+ Years")))</f>
        <v>10+ Years</v>
      </c>
    </row>
    <row r="150" spans="1:13" x14ac:dyDescent="0.3">
      <c r="A150" t="s">
        <v>67</v>
      </c>
      <c r="B150">
        <v>26</v>
      </c>
      <c r="C150" t="s">
        <v>7</v>
      </c>
      <c r="D150" t="s">
        <v>14</v>
      </c>
      <c r="E150" t="s">
        <v>13</v>
      </c>
      <c r="F150">
        <v>3300</v>
      </c>
      <c r="G150">
        <v>2</v>
      </c>
      <c r="H150">
        <v>2</v>
      </c>
      <c r="I150" t="s">
        <v>12</v>
      </c>
      <c r="J150" t="str">
        <f>IF(Table1[[#This Row],[Age]]&lt;25,"Below 25",IF(Table1[[#This Row],[Age]]&lt;35,"25-34",IF(Table1[[#This Row],[Age]]&lt;45,"35-44","45+")))</f>
        <v>25-34</v>
      </c>
      <c r="K150" t="str">
        <f>IF(Table1[[#This Row],[Monthly_Income]]&lt;4000,"Low",IF(Table1[[#This Row],[Monthly_Income]]&lt;7000,"Medium","High"))</f>
        <v>Low</v>
      </c>
      <c r="L150">
        <f>IF(Table1[[#This Row],[Attrition]]="Yes",1,0)</f>
        <v>1</v>
      </c>
      <c r="M150" t="str">
        <f>IF(Table1[[#This Row],[Years_at_Company]]&lt;2,"0-2 Years",IF(Table1[[#This Row],[Years_at_Company]]&lt;=5,"3-5 Years",IF(Table1[[#This Row],[Years_at_Company]]&lt;=10,"6-10 Years","10+ Years")))</f>
        <v>3-5 Years</v>
      </c>
    </row>
    <row r="151" spans="1:13" x14ac:dyDescent="0.3">
      <c r="A151" t="s">
        <v>66</v>
      </c>
      <c r="B151">
        <v>35</v>
      </c>
      <c r="C151" t="s">
        <v>3</v>
      </c>
      <c r="D151" t="s">
        <v>10</v>
      </c>
      <c r="E151" t="s">
        <v>9</v>
      </c>
      <c r="F151">
        <v>6400</v>
      </c>
      <c r="G151">
        <v>4</v>
      </c>
      <c r="H151">
        <v>7</v>
      </c>
      <c r="I151" t="s">
        <v>0</v>
      </c>
      <c r="J151" t="str">
        <f>IF(Table1[[#This Row],[Age]]&lt;25,"Below 25",IF(Table1[[#This Row],[Age]]&lt;35,"25-34",IF(Table1[[#This Row],[Age]]&lt;45,"35-44","45+")))</f>
        <v>35-44</v>
      </c>
      <c r="K151" t="str">
        <f>IF(Table1[[#This Row],[Monthly_Income]]&lt;4000,"Low",IF(Table1[[#This Row],[Monthly_Income]]&lt;7000,"Medium","High"))</f>
        <v>Medium</v>
      </c>
      <c r="L151">
        <f>IF(Table1[[#This Row],[Attrition]]="Yes",1,0)</f>
        <v>0</v>
      </c>
      <c r="M151" t="str">
        <f>IF(Table1[[#This Row],[Years_at_Company]]&lt;2,"0-2 Years",IF(Table1[[#This Row],[Years_at_Company]]&lt;=5,"3-5 Years",IF(Table1[[#This Row],[Years_at_Company]]&lt;=10,"6-10 Years","10+ Years")))</f>
        <v>6-10 Years</v>
      </c>
    </row>
    <row r="152" spans="1:13" x14ac:dyDescent="0.3">
      <c r="A152" t="s">
        <v>65</v>
      </c>
      <c r="B152">
        <v>31</v>
      </c>
      <c r="C152" t="s">
        <v>7</v>
      </c>
      <c r="D152" t="s">
        <v>6</v>
      </c>
      <c r="E152" t="s">
        <v>5</v>
      </c>
      <c r="F152">
        <v>4500</v>
      </c>
      <c r="G152">
        <v>3</v>
      </c>
      <c r="H152">
        <v>5</v>
      </c>
      <c r="I152" t="s">
        <v>0</v>
      </c>
      <c r="J152" t="str">
        <f>IF(Table1[[#This Row],[Age]]&lt;25,"Below 25",IF(Table1[[#This Row],[Age]]&lt;35,"25-34",IF(Table1[[#This Row],[Age]]&lt;45,"35-44","45+")))</f>
        <v>25-34</v>
      </c>
      <c r="K152" t="str">
        <f>IF(Table1[[#This Row],[Monthly_Income]]&lt;4000,"Low",IF(Table1[[#This Row],[Monthly_Income]]&lt;7000,"Medium","High"))</f>
        <v>Medium</v>
      </c>
      <c r="L152">
        <f>IF(Table1[[#This Row],[Attrition]]="Yes",1,0)</f>
        <v>0</v>
      </c>
      <c r="M152" t="str">
        <f>IF(Table1[[#This Row],[Years_at_Company]]&lt;2,"0-2 Years",IF(Table1[[#This Row],[Years_at_Company]]&lt;=5,"3-5 Years",IF(Table1[[#This Row],[Years_at_Company]]&lt;=10,"6-10 Years","10+ Years")))</f>
        <v>3-5 Years</v>
      </c>
    </row>
    <row r="153" spans="1:13" x14ac:dyDescent="0.3">
      <c r="A153" t="s">
        <v>64</v>
      </c>
      <c r="B153">
        <v>48</v>
      </c>
      <c r="C153" t="s">
        <v>3</v>
      </c>
      <c r="D153" t="s">
        <v>2</v>
      </c>
      <c r="E153" t="s">
        <v>1</v>
      </c>
      <c r="F153">
        <v>9300</v>
      </c>
      <c r="G153">
        <v>4</v>
      </c>
      <c r="H153">
        <v>16</v>
      </c>
      <c r="I153" t="s">
        <v>0</v>
      </c>
      <c r="J153" t="str">
        <f>IF(Table1[[#This Row],[Age]]&lt;25,"Below 25",IF(Table1[[#This Row],[Age]]&lt;35,"25-34",IF(Table1[[#This Row],[Age]]&lt;45,"35-44","45+")))</f>
        <v>45+</v>
      </c>
      <c r="K153" t="str">
        <f>IF(Table1[[#This Row],[Monthly_Income]]&lt;4000,"Low",IF(Table1[[#This Row],[Monthly_Income]]&lt;7000,"Medium","High"))</f>
        <v>High</v>
      </c>
      <c r="L153">
        <f>IF(Table1[[#This Row],[Attrition]]="Yes",1,0)</f>
        <v>0</v>
      </c>
      <c r="M153" t="str">
        <f>IF(Table1[[#This Row],[Years_at_Company]]&lt;2,"0-2 Years",IF(Table1[[#This Row],[Years_at_Company]]&lt;=5,"3-5 Years",IF(Table1[[#This Row],[Years_at_Company]]&lt;=10,"6-10 Years","10+ Years")))</f>
        <v>10+ Years</v>
      </c>
    </row>
    <row r="154" spans="1:13" x14ac:dyDescent="0.3">
      <c r="A154" t="s">
        <v>63</v>
      </c>
      <c r="B154">
        <v>25</v>
      </c>
      <c r="C154" t="s">
        <v>3</v>
      </c>
      <c r="D154" t="s">
        <v>14</v>
      </c>
      <c r="E154" t="s">
        <v>13</v>
      </c>
      <c r="F154">
        <v>3100</v>
      </c>
      <c r="G154">
        <v>2</v>
      </c>
      <c r="H154">
        <v>1</v>
      </c>
      <c r="I154" t="s">
        <v>12</v>
      </c>
      <c r="J154" t="str">
        <f>IF(Table1[[#This Row],[Age]]&lt;25,"Below 25",IF(Table1[[#This Row],[Age]]&lt;35,"25-34",IF(Table1[[#This Row],[Age]]&lt;45,"35-44","45+")))</f>
        <v>25-34</v>
      </c>
      <c r="K154" t="str">
        <f>IF(Table1[[#This Row],[Monthly_Income]]&lt;4000,"Low",IF(Table1[[#This Row],[Monthly_Income]]&lt;7000,"Medium","High"))</f>
        <v>Low</v>
      </c>
      <c r="L154">
        <f>IF(Table1[[#This Row],[Attrition]]="Yes",1,0)</f>
        <v>1</v>
      </c>
      <c r="M154" t="str">
        <f>IF(Table1[[#This Row],[Years_at_Company]]&lt;2,"0-2 Years",IF(Table1[[#This Row],[Years_at_Company]]&lt;=5,"3-5 Years",IF(Table1[[#This Row],[Years_at_Company]]&lt;=10,"6-10 Years","10+ Years")))</f>
        <v>0-2 Years</v>
      </c>
    </row>
    <row r="155" spans="1:13" x14ac:dyDescent="0.3">
      <c r="A155" t="s">
        <v>62</v>
      </c>
      <c r="B155">
        <v>37</v>
      </c>
      <c r="C155" t="s">
        <v>7</v>
      </c>
      <c r="D155" t="s">
        <v>10</v>
      </c>
      <c r="E155" t="s">
        <v>20</v>
      </c>
      <c r="F155">
        <v>6300</v>
      </c>
      <c r="G155">
        <v>3</v>
      </c>
      <c r="H155">
        <v>8</v>
      </c>
      <c r="I155" t="s">
        <v>0</v>
      </c>
      <c r="J155" t="str">
        <f>IF(Table1[[#This Row],[Age]]&lt;25,"Below 25",IF(Table1[[#This Row],[Age]]&lt;35,"25-34",IF(Table1[[#This Row],[Age]]&lt;45,"35-44","45+")))</f>
        <v>35-44</v>
      </c>
      <c r="K155" t="str">
        <f>IF(Table1[[#This Row],[Monthly_Income]]&lt;4000,"Low",IF(Table1[[#This Row],[Monthly_Income]]&lt;7000,"Medium","High"))</f>
        <v>Medium</v>
      </c>
      <c r="L155">
        <f>IF(Table1[[#This Row],[Attrition]]="Yes",1,0)</f>
        <v>0</v>
      </c>
      <c r="M155" t="str">
        <f>IF(Table1[[#This Row],[Years_at_Company]]&lt;2,"0-2 Years",IF(Table1[[#This Row],[Years_at_Company]]&lt;=5,"3-5 Years",IF(Table1[[#This Row],[Years_at_Company]]&lt;=10,"6-10 Years","10+ Years")))</f>
        <v>6-10 Years</v>
      </c>
    </row>
    <row r="156" spans="1:13" x14ac:dyDescent="0.3">
      <c r="A156" t="s">
        <v>61</v>
      </c>
      <c r="B156">
        <v>29</v>
      </c>
      <c r="C156" t="s">
        <v>3</v>
      </c>
      <c r="D156" t="s">
        <v>6</v>
      </c>
      <c r="E156" t="s">
        <v>18</v>
      </c>
      <c r="F156">
        <v>4300</v>
      </c>
      <c r="G156">
        <v>3</v>
      </c>
      <c r="H156">
        <v>4</v>
      </c>
      <c r="I156" t="s">
        <v>0</v>
      </c>
      <c r="J156" t="str">
        <f>IF(Table1[[#This Row],[Age]]&lt;25,"Below 25",IF(Table1[[#This Row],[Age]]&lt;35,"25-34",IF(Table1[[#This Row],[Age]]&lt;45,"35-44","45+")))</f>
        <v>25-34</v>
      </c>
      <c r="K156" t="str">
        <f>IF(Table1[[#This Row],[Monthly_Income]]&lt;4000,"Low",IF(Table1[[#This Row],[Monthly_Income]]&lt;7000,"Medium","High"))</f>
        <v>Medium</v>
      </c>
      <c r="L156">
        <f>IF(Table1[[#This Row],[Attrition]]="Yes",1,0)</f>
        <v>0</v>
      </c>
      <c r="M156" t="str">
        <f>IF(Table1[[#This Row],[Years_at_Company]]&lt;2,"0-2 Years",IF(Table1[[#This Row],[Years_at_Company]]&lt;=5,"3-5 Years",IF(Table1[[#This Row],[Years_at_Company]]&lt;=10,"6-10 Years","10+ Years")))</f>
        <v>3-5 Years</v>
      </c>
    </row>
    <row r="157" spans="1:13" x14ac:dyDescent="0.3">
      <c r="A157" t="s">
        <v>60</v>
      </c>
      <c r="B157">
        <v>42</v>
      </c>
      <c r="C157" t="s">
        <v>7</v>
      </c>
      <c r="D157" t="s">
        <v>2</v>
      </c>
      <c r="E157" t="s">
        <v>16</v>
      </c>
      <c r="F157">
        <v>7000</v>
      </c>
      <c r="G157">
        <v>4</v>
      </c>
      <c r="H157">
        <v>11</v>
      </c>
      <c r="I157" t="s">
        <v>0</v>
      </c>
      <c r="J157" t="str">
        <f>IF(Table1[[#This Row],[Age]]&lt;25,"Below 25",IF(Table1[[#This Row],[Age]]&lt;35,"25-34",IF(Table1[[#This Row],[Age]]&lt;45,"35-44","45+")))</f>
        <v>35-44</v>
      </c>
      <c r="K157" t="str">
        <f>IF(Table1[[#This Row],[Monthly_Income]]&lt;4000,"Low",IF(Table1[[#This Row],[Monthly_Income]]&lt;7000,"Medium","High"))</f>
        <v>High</v>
      </c>
      <c r="L157">
        <f>IF(Table1[[#This Row],[Attrition]]="Yes",1,0)</f>
        <v>0</v>
      </c>
      <c r="M157" t="str">
        <f>IF(Table1[[#This Row],[Years_at_Company]]&lt;2,"0-2 Years",IF(Table1[[#This Row],[Years_at_Company]]&lt;=5,"3-5 Years",IF(Table1[[#This Row],[Years_at_Company]]&lt;=10,"6-10 Years","10+ Years")))</f>
        <v>10+ Years</v>
      </c>
    </row>
    <row r="158" spans="1:13" x14ac:dyDescent="0.3">
      <c r="A158" t="s">
        <v>59</v>
      </c>
      <c r="B158">
        <v>23</v>
      </c>
      <c r="C158" t="s">
        <v>7</v>
      </c>
      <c r="D158" t="s">
        <v>14</v>
      </c>
      <c r="E158" t="s">
        <v>13</v>
      </c>
      <c r="F158">
        <v>2900</v>
      </c>
      <c r="G158">
        <v>1</v>
      </c>
      <c r="H158">
        <v>1</v>
      </c>
      <c r="I158" t="s">
        <v>12</v>
      </c>
      <c r="J158" t="str">
        <f>IF(Table1[[#This Row],[Age]]&lt;25,"Below 25",IF(Table1[[#This Row],[Age]]&lt;35,"25-34",IF(Table1[[#This Row],[Age]]&lt;45,"35-44","45+")))</f>
        <v>Below 25</v>
      </c>
      <c r="K158" t="str">
        <f>IF(Table1[[#This Row],[Monthly_Income]]&lt;4000,"Low",IF(Table1[[#This Row],[Monthly_Income]]&lt;7000,"Medium","High"))</f>
        <v>Low</v>
      </c>
      <c r="L158">
        <f>IF(Table1[[#This Row],[Attrition]]="Yes",1,0)</f>
        <v>1</v>
      </c>
      <c r="M158" t="str">
        <f>IF(Table1[[#This Row],[Years_at_Company]]&lt;2,"0-2 Years",IF(Table1[[#This Row],[Years_at_Company]]&lt;=5,"3-5 Years",IF(Table1[[#This Row],[Years_at_Company]]&lt;=10,"6-10 Years","10+ Years")))</f>
        <v>0-2 Years</v>
      </c>
    </row>
    <row r="159" spans="1:13" x14ac:dyDescent="0.3">
      <c r="A159" t="s">
        <v>58</v>
      </c>
      <c r="B159">
        <v>34</v>
      </c>
      <c r="C159" t="s">
        <v>3</v>
      </c>
      <c r="D159" t="s">
        <v>10</v>
      </c>
      <c r="E159" t="s">
        <v>9</v>
      </c>
      <c r="F159">
        <v>6100</v>
      </c>
      <c r="G159">
        <v>4</v>
      </c>
      <c r="H159">
        <v>6</v>
      </c>
      <c r="I159" t="s">
        <v>0</v>
      </c>
      <c r="J159" t="str">
        <f>IF(Table1[[#This Row],[Age]]&lt;25,"Below 25",IF(Table1[[#This Row],[Age]]&lt;35,"25-34",IF(Table1[[#This Row],[Age]]&lt;45,"35-44","45+")))</f>
        <v>25-34</v>
      </c>
      <c r="K159" t="str">
        <f>IF(Table1[[#This Row],[Monthly_Income]]&lt;4000,"Low",IF(Table1[[#This Row],[Monthly_Income]]&lt;7000,"Medium","High"))</f>
        <v>Medium</v>
      </c>
      <c r="L159">
        <f>IF(Table1[[#This Row],[Attrition]]="Yes",1,0)</f>
        <v>0</v>
      </c>
      <c r="M159" t="str">
        <f>IF(Table1[[#This Row],[Years_at_Company]]&lt;2,"0-2 Years",IF(Table1[[#This Row],[Years_at_Company]]&lt;=5,"3-5 Years",IF(Table1[[#This Row],[Years_at_Company]]&lt;=10,"6-10 Years","10+ Years")))</f>
        <v>6-10 Years</v>
      </c>
    </row>
    <row r="160" spans="1:13" x14ac:dyDescent="0.3">
      <c r="A160" t="s">
        <v>57</v>
      </c>
      <c r="B160">
        <v>30</v>
      </c>
      <c r="C160" t="s">
        <v>7</v>
      </c>
      <c r="D160" t="s">
        <v>6</v>
      </c>
      <c r="E160" t="s">
        <v>5</v>
      </c>
      <c r="F160">
        <v>4600</v>
      </c>
      <c r="G160">
        <v>3</v>
      </c>
      <c r="H160">
        <v>4</v>
      </c>
      <c r="I160" t="s">
        <v>0</v>
      </c>
      <c r="J160" t="str">
        <f>IF(Table1[[#This Row],[Age]]&lt;25,"Below 25",IF(Table1[[#This Row],[Age]]&lt;35,"25-34",IF(Table1[[#This Row],[Age]]&lt;45,"35-44","45+")))</f>
        <v>25-34</v>
      </c>
      <c r="K160" t="str">
        <f>IF(Table1[[#This Row],[Monthly_Income]]&lt;4000,"Low",IF(Table1[[#This Row],[Monthly_Income]]&lt;7000,"Medium","High"))</f>
        <v>Medium</v>
      </c>
      <c r="L160">
        <f>IF(Table1[[#This Row],[Attrition]]="Yes",1,0)</f>
        <v>0</v>
      </c>
      <c r="M160" t="str">
        <f>IF(Table1[[#This Row],[Years_at_Company]]&lt;2,"0-2 Years",IF(Table1[[#This Row],[Years_at_Company]]&lt;=5,"3-5 Years",IF(Table1[[#This Row],[Years_at_Company]]&lt;=10,"6-10 Years","10+ Years")))</f>
        <v>3-5 Years</v>
      </c>
    </row>
    <row r="161" spans="1:13" x14ac:dyDescent="0.3">
      <c r="A161" t="s">
        <v>56</v>
      </c>
      <c r="B161">
        <v>46</v>
      </c>
      <c r="C161" t="s">
        <v>3</v>
      </c>
      <c r="D161" t="s">
        <v>2</v>
      </c>
      <c r="E161" t="s">
        <v>23</v>
      </c>
      <c r="F161">
        <v>7800</v>
      </c>
      <c r="G161">
        <v>4</v>
      </c>
      <c r="H161">
        <v>14</v>
      </c>
      <c r="I161" t="s">
        <v>0</v>
      </c>
      <c r="J161" t="str">
        <f>IF(Table1[[#This Row],[Age]]&lt;25,"Below 25",IF(Table1[[#This Row],[Age]]&lt;35,"25-34",IF(Table1[[#This Row],[Age]]&lt;45,"35-44","45+")))</f>
        <v>45+</v>
      </c>
      <c r="K161" t="str">
        <f>IF(Table1[[#This Row],[Monthly_Income]]&lt;4000,"Low",IF(Table1[[#This Row],[Monthly_Income]]&lt;7000,"Medium","High"))</f>
        <v>High</v>
      </c>
      <c r="L161">
        <f>IF(Table1[[#This Row],[Attrition]]="Yes",1,0)</f>
        <v>0</v>
      </c>
      <c r="M161" t="str">
        <f>IF(Table1[[#This Row],[Years_at_Company]]&lt;2,"0-2 Years",IF(Table1[[#This Row],[Years_at_Company]]&lt;=5,"3-5 Years",IF(Table1[[#This Row],[Years_at_Company]]&lt;=10,"6-10 Years","10+ Years")))</f>
        <v>10+ Years</v>
      </c>
    </row>
    <row r="162" spans="1:13" x14ac:dyDescent="0.3">
      <c r="A162" t="s">
        <v>55</v>
      </c>
      <c r="B162">
        <v>27</v>
      </c>
      <c r="C162" t="s">
        <v>7</v>
      </c>
      <c r="D162" t="s">
        <v>14</v>
      </c>
      <c r="E162" t="s">
        <v>13</v>
      </c>
      <c r="F162">
        <v>3400</v>
      </c>
      <c r="G162">
        <v>2</v>
      </c>
      <c r="H162">
        <v>2</v>
      </c>
      <c r="I162" t="s">
        <v>12</v>
      </c>
      <c r="J162" t="str">
        <f>IF(Table1[[#This Row],[Age]]&lt;25,"Below 25",IF(Table1[[#This Row],[Age]]&lt;35,"25-34",IF(Table1[[#This Row],[Age]]&lt;45,"35-44","45+")))</f>
        <v>25-34</v>
      </c>
      <c r="K162" t="str">
        <f>IF(Table1[[#This Row],[Monthly_Income]]&lt;4000,"Low",IF(Table1[[#This Row],[Monthly_Income]]&lt;7000,"Medium","High"))</f>
        <v>Low</v>
      </c>
      <c r="L162">
        <f>IF(Table1[[#This Row],[Attrition]]="Yes",1,0)</f>
        <v>1</v>
      </c>
      <c r="M162" t="str">
        <f>IF(Table1[[#This Row],[Years_at_Company]]&lt;2,"0-2 Years",IF(Table1[[#This Row],[Years_at_Company]]&lt;=5,"3-5 Years",IF(Table1[[#This Row],[Years_at_Company]]&lt;=10,"6-10 Years","10+ Years")))</f>
        <v>3-5 Years</v>
      </c>
    </row>
    <row r="163" spans="1:13" x14ac:dyDescent="0.3">
      <c r="A163" t="s">
        <v>54</v>
      </c>
      <c r="B163">
        <v>39</v>
      </c>
      <c r="C163" t="s">
        <v>3</v>
      </c>
      <c r="D163" t="s">
        <v>10</v>
      </c>
      <c r="E163" t="s">
        <v>20</v>
      </c>
      <c r="F163">
        <v>6700</v>
      </c>
      <c r="G163">
        <v>3</v>
      </c>
      <c r="H163">
        <v>9</v>
      </c>
      <c r="I163" t="s">
        <v>0</v>
      </c>
      <c r="J163" t="str">
        <f>IF(Table1[[#This Row],[Age]]&lt;25,"Below 25",IF(Table1[[#This Row],[Age]]&lt;35,"25-34",IF(Table1[[#This Row],[Age]]&lt;45,"35-44","45+")))</f>
        <v>35-44</v>
      </c>
      <c r="K163" t="str">
        <f>IF(Table1[[#This Row],[Monthly_Income]]&lt;4000,"Low",IF(Table1[[#This Row],[Monthly_Income]]&lt;7000,"Medium","High"))</f>
        <v>Medium</v>
      </c>
      <c r="L163">
        <f>IF(Table1[[#This Row],[Attrition]]="Yes",1,0)</f>
        <v>0</v>
      </c>
      <c r="M163" t="str">
        <f>IF(Table1[[#This Row],[Years_at_Company]]&lt;2,"0-2 Years",IF(Table1[[#This Row],[Years_at_Company]]&lt;=5,"3-5 Years",IF(Table1[[#This Row],[Years_at_Company]]&lt;=10,"6-10 Years","10+ Years")))</f>
        <v>6-10 Years</v>
      </c>
    </row>
    <row r="164" spans="1:13" x14ac:dyDescent="0.3">
      <c r="A164" t="s">
        <v>53</v>
      </c>
      <c r="B164">
        <v>32</v>
      </c>
      <c r="C164" t="s">
        <v>7</v>
      </c>
      <c r="D164" t="s">
        <v>6</v>
      </c>
      <c r="E164" t="s">
        <v>18</v>
      </c>
      <c r="F164">
        <v>4700</v>
      </c>
      <c r="G164">
        <v>4</v>
      </c>
      <c r="H164">
        <v>6</v>
      </c>
      <c r="I164" t="s">
        <v>0</v>
      </c>
      <c r="J164" t="str">
        <f>IF(Table1[[#This Row],[Age]]&lt;25,"Below 25",IF(Table1[[#This Row],[Age]]&lt;35,"25-34",IF(Table1[[#This Row],[Age]]&lt;45,"35-44","45+")))</f>
        <v>25-34</v>
      </c>
      <c r="K164" t="str">
        <f>IF(Table1[[#This Row],[Monthly_Income]]&lt;4000,"Low",IF(Table1[[#This Row],[Monthly_Income]]&lt;7000,"Medium","High"))</f>
        <v>Medium</v>
      </c>
      <c r="L164">
        <f>IF(Table1[[#This Row],[Attrition]]="Yes",1,0)</f>
        <v>0</v>
      </c>
      <c r="M164" t="str">
        <f>IF(Table1[[#This Row],[Years_at_Company]]&lt;2,"0-2 Years",IF(Table1[[#This Row],[Years_at_Company]]&lt;=5,"3-5 Years",IF(Table1[[#This Row],[Years_at_Company]]&lt;=10,"6-10 Years","10+ Years")))</f>
        <v>6-10 Years</v>
      </c>
    </row>
    <row r="165" spans="1:13" x14ac:dyDescent="0.3">
      <c r="A165" t="s">
        <v>52</v>
      </c>
      <c r="B165">
        <v>41</v>
      </c>
      <c r="C165" t="s">
        <v>3</v>
      </c>
      <c r="D165" t="s">
        <v>2</v>
      </c>
      <c r="E165" t="s">
        <v>16</v>
      </c>
      <c r="F165">
        <v>6900</v>
      </c>
      <c r="G165">
        <v>3</v>
      </c>
      <c r="H165">
        <v>10</v>
      </c>
      <c r="I165" t="s">
        <v>0</v>
      </c>
      <c r="J165" t="str">
        <f>IF(Table1[[#This Row],[Age]]&lt;25,"Below 25",IF(Table1[[#This Row],[Age]]&lt;35,"25-34",IF(Table1[[#This Row],[Age]]&lt;45,"35-44","45+")))</f>
        <v>35-44</v>
      </c>
      <c r="K165" t="str">
        <f>IF(Table1[[#This Row],[Monthly_Income]]&lt;4000,"Low",IF(Table1[[#This Row],[Monthly_Income]]&lt;7000,"Medium","High"))</f>
        <v>Medium</v>
      </c>
      <c r="L165">
        <f>IF(Table1[[#This Row],[Attrition]]="Yes",1,0)</f>
        <v>0</v>
      </c>
      <c r="M165" t="str">
        <f>IF(Table1[[#This Row],[Years_at_Company]]&lt;2,"0-2 Years",IF(Table1[[#This Row],[Years_at_Company]]&lt;=5,"3-5 Years",IF(Table1[[#This Row],[Years_at_Company]]&lt;=10,"6-10 Years","10+ Years")))</f>
        <v>6-10 Years</v>
      </c>
    </row>
    <row r="166" spans="1:13" x14ac:dyDescent="0.3">
      <c r="A166" t="s">
        <v>51</v>
      </c>
      <c r="B166">
        <v>24</v>
      </c>
      <c r="C166" t="s">
        <v>3</v>
      </c>
      <c r="D166" t="s">
        <v>14</v>
      </c>
      <c r="E166" t="s">
        <v>13</v>
      </c>
      <c r="F166">
        <v>3000</v>
      </c>
      <c r="G166">
        <v>1</v>
      </c>
      <c r="H166">
        <v>1</v>
      </c>
      <c r="I166" t="s">
        <v>12</v>
      </c>
      <c r="J166" t="str">
        <f>IF(Table1[[#This Row],[Age]]&lt;25,"Below 25",IF(Table1[[#This Row],[Age]]&lt;35,"25-34",IF(Table1[[#This Row],[Age]]&lt;45,"35-44","45+")))</f>
        <v>Below 25</v>
      </c>
      <c r="K166" t="str">
        <f>IF(Table1[[#This Row],[Monthly_Income]]&lt;4000,"Low",IF(Table1[[#This Row],[Monthly_Income]]&lt;7000,"Medium","High"))</f>
        <v>Low</v>
      </c>
      <c r="L166">
        <f>IF(Table1[[#This Row],[Attrition]]="Yes",1,0)</f>
        <v>1</v>
      </c>
      <c r="M166" t="str">
        <f>IF(Table1[[#This Row],[Years_at_Company]]&lt;2,"0-2 Years",IF(Table1[[#This Row],[Years_at_Company]]&lt;=5,"3-5 Years",IF(Table1[[#This Row],[Years_at_Company]]&lt;=10,"6-10 Years","10+ Years")))</f>
        <v>0-2 Years</v>
      </c>
    </row>
    <row r="167" spans="1:13" x14ac:dyDescent="0.3">
      <c r="A167" t="s">
        <v>50</v>
      </c>
      <c r="B167">
        <v>35</v>
      </c>
      <c r="C167" t="s">
        <v>7</v>
      </c>
      <c r="D167" t="s">
        <v>10</v>
      </c>
      <c r="E167" t="s">
        <v>9</v>
      </c>
      <c r="F167">
        <v>6500</v>
      </c>
      <c r="G167">
        <v>4</v>
      </c>
      <c r="H167">
        <v>7</v>
      </c>
      <c r="I167" t="s">
        <v>0</v>
      </c>
      <c r="J167" t="str">
        <f>IF(Table1[[#This Row],[Age]]&lt;25,"Below 25",IF(Table1[[#This Row],[Age]]&lt;35,"25-34",IF(Table1[[#This Row],[Age]]&lt;45,"35-44","45+")))</f>
        <v>35-44</v>
      </c>
      <c r="K167" t="str">
        <f>IF(Table1[[#This Row],[Monthly_Income]]&lt;4000,"Low",IF(Table1[[#This Row],[Monthly_Income]]&lt;7000,"Medium","High"))</f>
        <v>Medium</v>
      </c>
      <c r="L167">
        <f>IF(Table1[[#This Row],[Attrition]]="Yes",1,0)</f>
        <v>0</v>
      </c>
      <c r="M167" t="str">
        <f>IF(Table1[[#This Row],[Years_at_Company]]&lt;2,"0-2 Years",IF(Table1[[#This Row],[Years_at_Company]]&lt;=5,"3-5 Years",IF(Table1[[#This Row],[Years_at_Company]]&lt;=10,"6-10 Years","10+ Years")))</f>
        <v>6-10 Years</v>
      </c>
    </row>
    <row r="168" spans="1:13" x14ac:dyDescent="0.3">
      <c r="A168" t="s">
        <v>49</v>
      </c>
      <c r="B168">
        <v>28</v>
      </c>
      <c r="C168" t="s">
        <v>3</v>
      </c>
      <c r="D168" t="s">
        <v>6</v>
      </c>
      <c r="E168" t="s">
        <v>5</v>
      </c>
      <c r="F168">
        <v>4200</v>
      </c>
      <c r="G168">
        <v>3</v>
      </c>
      <c r="H168">
        <v>3</v>
      </c>
      <c r="I168" t="s">
        <v>0</v>
      </c>
      <c r="J168" t="str">
        <f>IF(Table1[[#This Row],[Age]]&lt;25,"Below 25",IF(Table1[[#This Row],[Age]]&lt;35,"25-34",IF(Table1[[#This Row],[Age]]&lt;45,"35-44","45+")))</f>
        <v>25-34</v>
      </c>
      <c r="K168" t="str">
        <f>IF(Table1[[#This Row],[Monthly_Income]]&lt;4000,"Low",IF(Table1[[#This Row],[Monthly_Income]]&lt;7000,"Medium","High"))</f>
        <v>Medium</v>
      </c>
      <c r="L168">
        <f>IF(Table1[[#This Row],[Attrition]]="Yes",1,0)</f>
        <v>0</v>
      </c>
      <c r="M168" t="str">
        <f>IF(Table1[[#This Row],[Years_at_Company]]&lt;2,"0-2 Years",IF(Table1[[#This Row],[Years_at_Company]]&lt;=5,"3-5 Years",IF(Table1[[#This Row],[Years_at_Company]]&lt;=10,"6-10 Years","10+ Years")))</f>
        <v>3-5 Years</v>
      </c>
    </row>
    <row r="169" spans="1:13" x14ac:dyDescent="0.3">
      <c r="A169" t="s">
        <v>48</v>
      </c>
      <c r="B169">
        <v>43</v>
      </c>
      <c r="C169" t="s">
        <v>7</v>
      </c>
      <c r="D169" t="s">
        <v>2</v>
      </c>
      <c r="E169" t="s">
        <v>23</v>
      </c>
      <c r="F169">
        <v>7500</v>
      </c>
      <c r="G169">
        <v>4</v>
      </c>
      <c r="H169">
        <v>12</v>
      </c>
      <c r="I169" t="s">
        <v>0</v>
      </c>
      <c r="J169" t="str">
        <f>IF(Table1[[#This Row],[Age]]&lt;25,"Below 25",IF(Table1[[#This Row],[Age]]&lt;35,"25-34",IF(Table1[[#This Row],[Age]]&lt;45,"35-44","45+")))</f>
        <v>35-44</v>
      </c>
      <c r="K169" t="str">
        <f>IF(Table1[[#This Row],[Monthly_Income]]&lt;4000,"Low",IF(Table1[[#This Row],[Monthly_Income]]&lt;7000,"Medium","High"))</f>
        <v>High</v>
      </c>
      <c r="L169">
        <f>IF(Table1[[#This Row],[Attrition]]="Yes",1,0)</f>
        <v>0</v>
      </c>
      <c r="M169" t="str">
        <f>IF(Table1[[#This Row],[Years_at_Company]]&lt;2,"0-2 Years",IF(Table1[[#This Row],[Years_at_Company]]&lt;=5,"3-5 Years",IF(Table1[[#This Row],[Years_at_Company]]&lt;=10,"6-10 Years","10+ Years")))</f>
        <v>10+ Years</v>
      </c>
    </row>
    <row r="170" spans="1:13" x14ac:dyDescent="0.3">
      <c r="A170" t="s">
        <v>47</v>
      </c>
      <c r="B170">
        <v>26</v>
      </c>
      <c r="C170" t="s">
        <v>7</v>
      </c>
      <c r="D170" t="s">
        <v>14</v>
      </c>
      <c r="E170" t="s">
        <v>13</v>
      </c>
      <c r="F170">
        <v>3300</v>
      </c>
      <c r="G170">
        <v>2</v>
      </c>
      <c r="H170">
        <v>2</v>
      </c>
      <c r="I170" t="s">
        <v>12</v>
      </c>
      <c r="J170" t="str">
        <f>IF(Table1[[#This Row],[Age]]&lt;25,"Below 25",IF(Table1[[#This Row],[Age]]&lt;35,"25-34",IF(Table1[[#This Row],[Age]]&lt;45,"35-44","45+")))</f>
        <v>25-34</v>
      </c>
      <c r="K170" t="str">
        <f>IF(Table1[[#This Row],[Monthly_Income]]&lt;4000,"Low",IF(Table1[[#This Row],[Monthly_Income]]&lt;7000,"Medium","High"))</f>
        <v>Low</v>
      </c>
      <c r="L170">
        <f>IF(Table1[[#This Row],[Attrition]]="Yes",1,0)</f>
        <v>1</v>
      </c>
      <c r="M170" t="str">
        <f>IF(Table1[[#This Row],[Years_at_Company]]&lt;2,"0-2 Years",IF(Table1[[#This Row],[Years_at_Company]]&lt;=5,"3-5 Years",IF(Table1[[#This Row],[Years_at_Company]]&lt;=10,"6-10 Years","10+ Years")))</f>
        <v>3-5 Years</v>
      </c>
    </row>
    <row r="171" spans="1:13" x14ac:dyDescent="0.3">
      <c r="A171" t="s">
        <v>46</v>
      </c>
      <c r="B171">
        <v>36</v>
      </c>
      <c r="C171" t="s">
        <v>3</v>
      </c>
      <c r="D171" t="s">
        <v>10</v>
      </c>
      <c r="E171" t="s">
        <v>20</v>
      </c>
      <c r="F171">
        <v>6200</v>
      </c>
      <c r="G171">
        <v>3</v>
      </c>
      <c r="H171">
        <v>7</v>
      </c>
      <c r="I171" t="s">
        <v>0</v>
      </c>
      <c r="J171" t="str">
        <f>IF(Table1[[#This Row],[Age]]&lt;25,"Below 25",IF(Table1[[#This Row],[Age]]&lt;35,"25-34",IF(Table1[[#This Row],[Age]]&lt;45,"35-44","45+")))</f>
        <v>35-44</v>
      </c>
      <c r="K171" t="str">
        <f>IF(Table1[[#This Row],[Monthly_Income]]&lt;4000,"Low",IF(Table1[[#This Row],[Monthly_Income]]&lt;7000,"Medium","High"))</f>
        <v>Medium</v>
      </c>
      <c r="L171">
        <f>IF(Table1[[#This Row],[Attrition]]="Yes",1,0)</f>
        <v>0</v>
      </c>
      <c r="M171" t="str">
        <f>IF(Table1[[#This Row],[Years_at_Company]]&lt;2,"0-2 Years",IF(Table1[[#This Row],[Years_at_Company]]&lt;=5,"3-5 Years",IF(Table1[[#This Row],[Years_at_Company]]&lt;=10,"6-10 Years","10+ Years")))</f>
        <v>6-10 Years</v>
      </c>
    </row>
    <row r="172" spans="1:13" x14ac:dyDescent="0.3">
      <c r="A172" t="s">
        <v>45</v>
      </c>
      <c r="B172">
        <v>31</v>
      </c>
      <c r="C172" t="s">
        <v>7</v>
      </c>
      <c r="D172" t="s">
        <v>6</v>
      </c>
      <c r="E172" t="s">
        <v>18</v>
      </c>
      <c r="F172">
        <v>4500</v>
      </c>
      <c r="G172">
        <v>3</v>
      </c>
      <c r="H172">
        <v>5</v>
      </c>
      <c r="I172" t="s">
        <v>0</v>
      </c>
      <c r="J172" t="str">
        <f>IF(Table1[[#This Row],[Age]]&lt;25,"Below 25",IF(Table1[[#This Row],[Age]]&lt;35,"25-34",IF(Table1[[#This Row],[Age]]&lt;45,"35-44","45+")))</f>
        <v>25-34</v>
      </c>
      <c r="K172" t="str">
        <f>IF(Table1[[#This Row],[Monthly_Income]]&lt;4000,"Low",IF(Table1[[#This Row],[Monthly_Income]]&lt;7000,"Medium","High"))</f>
        <v>Medium</v>
      </c>
      <c r="L172">
        <f>IF(Table1[[#This Row],[Attrition]]="Yes",1,0)</f>
        <v>0</v>
      </c>
      <c r="M172" t="str">
        <f>IF(Table1[[#This Row],[Years_at_Company]]&lt;2,"0-2 Years",IF(Table1[[#This Row],[Years_at_Company]]&lt;=5,"3-5 Years",IF(Table1[[#This Row],[Years_at_Company]]&lt;=10,"6-10 Years","10+ Years")))</f>
        <v>3-5 Years</v>
      </c>
    </row>
    <row r="173" spans="1:13" x14ac:dyDescent="0.3">
      <c r="A173" t="s">
        <v>44</v>
      </c>
      <c r="B173">
        <v>47</v>
      </c>
      <c r="C173" t="s">
        <v>3</v>
      </c>
      <c r="D173" t="s">
        <v>2</v>
      </c>
      <c r="E173" t="s">
        <v>1</v>
      </c>
      <c r="F173">
        <v>9100</v>
      </c>
      <c r="G173">
        <v>4</v>
      </c>
      <c r="H173">
        <v>15</v>
      </c>
      <c r="I173" t="s">
        <v>0</v>
      </c>
      <c r="J173" t="str">
        <f>IF(Table1[[#This Row],[Age]]&lt;25,"Below 25",IF(Table1[[#This Row],[Age]]&lt;35,"25-34",IF(Table1[[#This Row],[Age]]&lt;45,"35-44","45+")))</f>
        <v>45+</v>
      </c>
      <c r="K173" t="str">
        <f>IF(Table1[[#This Row],[Monthly_Income]]&lt;4000,"Low",IF(Table1[[#This Row],[Monthly_Income]]&lt;7000,"Medium","High"))</f>
        <v>High</v>
      </c>
      <c r="L173">
        <f>IF(Table1[[#This Row],[Attrition]]="Yes",1,0)</f>
        <v>0</v>
      </c>
      <c r="M173" t="str">
        <f>IF(Table1[[#This Row],[Years_at_Company]]&lt;2,"0-2 Years",IF(Table1[[#This Row],[Years_at_Company]]&lt;=5,"3-5 Years",IF(Table1[[#This Row],[Years_at_Company]]&lt;=10,"6-10 Years","10+ Years")))</f>
        <v>10+ Years</v>
      </c>
    </row>
    <row r="174" spans="1:13" x14ac:dyDescent="0.3">
      <c r="A174" t="s">
        <v>43</v>
      </c>
      <c r="B174">
        <v>25</v>
      </c>
      <c r="C174" t="s">
        <v>7</v>
      </c>
      <c r="D174" t="s">
        <v>14</v>
      </c>
      <c r="E174" t="s">
        <v>13</v>
      </c>
      <c r="F174">
        <v>3100</v>
      </c>
      <c r="G174">
        <v>2</v>
      </c>
      <c r="H174">
        <v>1</v>
      </c>
      <c r="I174" t="s">
        <v>12</v>
      </c>
      <c r="J174" t="str">
        <f>IF(Table1[[#This Row],[Age]]&lt;25,"Below 25",IF(Table1[[#This Row],[Age]]&lt;35,"25-34",IF(Table1[[#This Row],[Age]]&lt;45,"35-44","45+")))</f>
        <v>25-34</v>
      </c>
      <c r="K174" t="str">
        <f>IF(Table1[[#This Row],[Monthly_Income]]&lt;4000,"Low",IF(Table1[[#This Row],[Monthly_Income]]&lt;7000,"Medium","High"))</f>
        <v>Low</v>
      </c>
      <c r="L174">
        <f>IF(Table1[[#This Row],[Attrition]]="Yes",1,0)</f>
        <v>1</v>
      </c>
      <c r="M174" t="str">
        <f>IF(Table1[[#This Row],[Years_at_Company]]&lt;2,"0-2 Years",IF(Table1[[#This Row],[Years_at_Company]]&lt;=5,"3-5 Years",IF(Table1[[#This Row],[Years_at_Company]]&lt;=10,"6-10 Years","10+ Years")))</f>
        <v>0-2 Years</v>
      </c>
    </row>
    <row r="175" spans="1:13" x14ac:dyDescent="0.3">
      <c r="A175" t="s">
        <v>42</v>
      </c>
      <c r="B175">
        <v>33</v>
      </c>
      <c r="C175" t="s">
        <v>3</v>
      </c>
      <c r="D175" t="s">
        <v>10</v>
      </c>
      <c r="E175" t="s">
        <v>9</v>
      </c>
      <c r="F175">
        <v>6000</v>
      </c>
      <c r="G175">
        <v>4</v>
      </c>
      <c r="H175">
        <v>6</v>
      </c>
      <c r="I175" t="s">
        <v>0</v>
      </c>
      <c r="J175" t="str">
        <f>IF(Table1[[#This Row],[Age]]&lt;25,"Below 25",IF(Table1[[#This Row],[Age]]&lt;35,"25-34",IF(Table1[[#This Row],[Age]]&lt;45,"35-44","45+")))</f>
        <v>25-34</v>
      </c>
      <c r="K175" t="str">
        <f>IF(Table1[[#This Row],[Monthly_Income]]&lt;4000,"Low",IF(Table1[[#This Row],[Monthly_Income]]&lt;7000,"Medium","High"))</f>
        <v>Medium</v>
      </c>
      <c r="L175">
        <f>IF(Table1[[#This Row],[Attrition]]="Yes",1,0)</f>
        <v>0</v>
      </c>
      <c r="M175" t="str">
        <f>IF(Table1[[#This Row],[Years_at_Company]]&lt;2,"0-2 Years",IF(Table1[[#This Row],[Years_at_Company]]&lt;=5,"3-5 Years",IF(Table1[[#This Row],[Years_at_Company]]&lt;=10,"6-10 Years","10+ Years")))</f>
        <v>6-10 Years</v>
      </c>
    </row>
    <row r="176" spans="1:13" x14ac:dyDescent="0.3">
      <c r="A176" t="s">
        <v>41</v>
      </c>
      <c r="B176">
        <v>38</v>
      </c>
      <c r="C176" t="s">
        <v>7</v>
      </c>
      <c r="D176" t="s">
        <v>6</v>
      </c>
      <c r="E176" t="s">
        <v>5</v>
      </c>
      <c r="F176">
        <v>4900</v>
      </c>
      <c r="G176">
        <v>4</v>
      </c>
      <c r="H176">
        <v>8</v>
      </c>
      <c r="I176" t="s">
        <v>0</v>
      </c>
      <c r="J176" t="str">
        <f>IF(Table1[[#This Row],[Age]]&lt;25,"Below 25",IF(Table1[[#This Row],[Age]]&lt;35,"25-34",IF(Table1[[#This Row],[Age]]&lt;45,"35-44","45+")))</f>
        <v>35-44</v>
      </c>
      <c r="K176" t="str">
        <f>IF(Table1[[#This Row],[Monthly_Income]]&lt;4000,"Low",IF(Table1[[#This Row],[Monthly_Income]]&lt;7000,"Medium","High"))</f>
        <v>Medium</v>
      </c>
      <c r="L176">
        <f>IF(Table1[[#This Row],[Attrition]]="Yes",1,0)</f>
        <v>0</v>
      </c>
      <c r="M176" t="str">
        <f>IF(Table1[[#This Row],[Years_at_Company]]&lt;2,"0-2 Years",IF(Table1[[#This Row],[Years_at_Company]]&lt;=5,"3-5 Years",IF(Table1[[#This Row],[Years_at_Company]]&lt;=10,"6-10 Years","10+ Years")))</f>
        <v>6-10 Years</v>
      </c>
    </row>
    <row r="177" spans="1:13" x14ac:dyDescent="0.3">
      <c r="A177" t="s">
        <v>40</v>
      </c>
      <c r="B177">
        <v>45</v>
      </c>
      <c r="C177" t="s">
        <v>3</v>
      </c>
      <c r="D177" t="s">
        <v>2</v>
      </c>
      <c r="E177" t="s">
        <v>16</v>
      </c>
      <c r="F177">
        <v>7000</v>
      </c>
      <c r="G177">
        <v>3</v>
      </c>
      <c r="H177">
        <v>13</v>
      </c>
      <c r="I177" t="s">
        <v>0</v>
      </c>
      <c r="J177" t="str">
        <f>IF(Table1[[#This Row],[Age]]&lt;25,"Below 25",IF(Table1[[#This Row],[Age]]&lt;35,"25-34",IF(Table1[[#This Row],[Age]]&lt;45,"35-44","45+")))</f>
        <v>45+</v>
      </c>
      <c r="K177" t="str">
        <f>IF(Table1[[#This Row],[Monthly_Income]]&lt;4000,"Low",IF(Table1[[#This Row],[Monthly_Income]]&lt;7000,"Medium","High"))</f>
        <v>High</v>
      </c>
      <c r="L177">
        <f>IF(Table1[[#This Row],[Attrition]]="Yes",1,0)</f>
        <v>0</v>
      </c>
      <c r="M177" t="str">
        <f>IF(Table1[[#This Row],[Years_at_Company]]&lt;2,"0-2 Years",IF(Table1[[#This Row],[Years_at_Company]]&lt;=5,"3-5 Years",IF(Table1[[#This Row],[Years_at_Company]]&lt;=10,"6-10 Years","10+ Years")))</f>
        <v>10+ Years</v>
      </c>
    </row>
    <row r="178" spans="1:13" x14ac:dyDescent="0.3">
      <c r="A178" t="s">
        <v>39</v>
      </c>
      <c r="B178">
        <v>22</v>
      </c>
      <c r="C178" t="s">
        <v>3</v>
      </c>
      <c r="D178" t="s">
        <v>14</v>
      </c>
      <c r="E178" t="s">
        <v>13</v>
      </c>
      <c r="F178">
        <v>2900</v>
      </c>
      <c r="G178">
        <v>1</v>
      </c>
      <c r="H178">
        <v>1</v>
      </c>
      <c r="I178" t="s">
        <v>12</v>
      </c>
      <c r="J178" t="str">
        <f>IF(Table1[[#This Row],[Age]]&lt;25,"Below 25",IF(Table1[[#This Row],[Age]]&lt;35,"25-34",IF(Table1[[#This Row],[Age]]&lt;45,"35-44","45+")))</f>
        <v>Below 25</v>
      </c>
      <c r="K178" t="str">
        <f>IF(Table1[[#This Row],[Monthly_Income]]&lt;4000,"Low",IF(Table1[[#This Row],[Monthly_Income]]&lt;7000,"Medium","High"))</f>
        <v>Low</v>
      </c>
      <c r="L178">
        <f>IF(Table1[[#This Row],[Attrition]]="Yes",1,0)</f>
        <v>1</v>
      </c>
      <c r="M178" t="str">
        <f>IF(Table1[[#This Row],[Years_at_Company]]&lt;2,"0-2 Years",IF(Table1[[#This Row],[Years_at_Company]]&lt;=5,"3-5 Years",IF(Table1[[#This Row],[Years_at_Company]]&lt;=10,"6-10 Years","10+ Years")))</f>
        <v>0-2 Years</v>
      </c>
    </row>
    <row r="179" spans="1:13" x14ac:dyDescent="0.3">
      <c r="A179" t="s">
        <v>38</v>
      </c>
      <c r="B179">
        <v>37</v>
      </c>
      <c r="C179" t="s">
        <v>7</v>
      </c>
      <c r="D179" t="s">
        <v>10</v>
      </c>
      <c r="E179" t="s">
        <v>20</v>
      </c>
      <c r="F179">
        <v>6400</v>
      </c>
      <c r="G179">
        <v>3</v>
      </c>
      <c r="H179">
        <v>8</v>
      </c>
      <c r="I179" t="s">
        <v>0</v>
      </c>
      <c r="J179" t="str">
        <f>IF(Table1[[#This Row],[Age]]&lt;25,"Below 25",IF(Table1[[#This Row],[Age]]&lt;35,"25-34",IF(Table1[[#This Row],[Age]]&lt;45,"35-44","45+")))</f>
        <v>35-44</v>
      </c>
      <c r="K179" t="str">
        <f>IF(Table1[[#This Row],[Monthly_Income]]&lt;4000,"Low",IF(Table1[[#This Row],[Monthly_Income]]&lt;7000,"Medium","High"))</f>
        <v>Medium</v>
      </c>
      <c r="L179">
        <f>IF(Table1[[#This Row],[Attrition]]="Yes",1,0)</f>
        <v>0</v>
      </c>
      <c r="M179" t="str">
        <f>IF(Table1[[#This Row],[Years_at_Company]]&lt;2,"0-2 Years",IF(Table1[[#This Row],[Years_at_Company]]&lt;=5,"3-5 Years",IF(Table1[[#This Row],[Years_at_Company]]&lt;=10,"6-10 Years","10+ Years")))</f>
        <v>6-10 Years</v>
      </c>
    </row>
    <row r="180" spans="1:13" x14ac:dyDescent="0.3">
      <c r="A180" t="s">
        <v>37</v>
      </c>
      <c r="B180">
        <v>30</v>
      </c>
      <c r="C180" t="s">
        <v>3</v>
      </c>
      <c r="D180" t="s">
        <v>6</v>
      </c>
      <c r="E180" t="s">
        <v>18</v>
      </c>
      <c r="F180">
        <v>4400</v>
      </c>
      <c r="G180">
        <v>3</v>
      </c>
      <c r="H180">
        <v>4</v>
      </c>
      <c r="I180" t="s">
        <v>0</v>
      </c>
      <c r="J180" t="str">
        <f>IF(Table1[[#This Row],[Age]]&lt;25,"Below 25",IF(Table1[[#This Row],[Age]]&lt;35,"25-34",IF(Table1[[#This Row],[Age]]&lt;45,"35-44","45+")))</f>
        <v>25-34</v>
      </c>
      <c r="K180" t="str">
        <f>IF(Table1[[#This Row],[Monthly_Income]]&lt;4000,"Low",IF(Table1[[#This Row],[Monthly_Income]]&lt;7000,"Medium","High"))</f>
        <v>Medium</v>
      </c>
      <c r="L180">
        <f>IF(Table1[[#This Row],[Attrition]]="Yes",1,0)</f>
        <v>0</v>
      </c>
      <c r="M180" t="str">
        <f>IF(Table1[[#This Row],[Years_at_Company]]&lt;2,"0-2 Years",IF(Table1[[#This Row],[Years_at_Company]]&lt;=5,"3-5 Years",IF(Table1[[#This Row],[Years_at_Company]]&lt;=10,"6-10 Years","10+ Years")))</f>
        <v>3-5 Years</v>
      </c>
    </row>
    <row r="181" spans="1:13" x14ac:dyDescent="0.3">
      <c r="A181" t="s">
        <v>36</v>
      </c>
      <c r="B181">
        <v>40</v>
      </c>
      <c r="C181" t="s">
        <v>7</v>
      </c>
      <c r="D181" t="s">
        <v>2</v>
      </c>
      <c r="E181" t="s">
        <v>23</v>
      </c>
      <c r="F181">
        <v>7400</v>
      </c>
      <c r="G181">
        <v>4</v>
      </c>
      <c r="H181">
        <v>10</v>
      </c>
      <c r="I181" t="s">
        <v>0</v>
      </c>
      <c r="J181" t="str">
        <f>IF(Table1[[#This Row],[Age]]&lt;25,"Below 25",IF(Table1[[#This Row],[Age]]&lt;35,"25-34",IF(Table1[[#This Row],[Age]]&lt;45,"35-44","45+")))</f>
        <v>35-44</v>
      </c>
      <c r="K181" t="str">
        <f>IF(Table1[[#This Row],[Monthly_Income]]&lt;4000,"Low",IF(Table1[[#This Row],[Monthly_Income]]&lt;7000,"Medium","High"))</f>
        <v>High</v>
      </c>
      <c r="L181">
        <f>IF(Table1[[#This Row],[Attrition]]="Yes",1,0)</f>
        <v>0</v>
      </c>
      <c r="M181" t="str">
        <f>IF(Table1[[#This Row],[Years_at_Company]]&lt;2,"0-2 Years",IF(Table1[[#This Row],[Years_at_Company]]&lt;=5,"3-5 Years",IF(Table1[[#This Row],[Years_at_Company]]&lt;=10,"6-10 Years","10+ Years")))</f>
        <v>6-10 Years</v>
      </c>
    </row>
    <row r="182" spans="1:13" x14ac:dyDescent="0.3">
      <c r="A182" t="s">
        <v>35</v>
      </c>
      <c r="B182">
        <v>27</v>
      </c>
      <c r="C182" t="s">
        <v>3</v>
      </c>
      <c r="D182" t="s">
        <v>14</v>
      </c>
      <c r="E182" t="s">
        <v>13</v>
      </c>
      <c r="F182">
        <v>3500</v>
      </c>
      <c r="G182">
        <v>2</v>
      </c>
      <c r="H182">
        <v>2</v>
      </c>
      <c r="I182" t="s">
        <v>12</v>
      </c>
      <c r="J182" t="str">
        <f>IF(Table1[[#This Row],[Age]]&lt;25,"Below 25",IF(Table1[[#This Row],[Age]]&lt;35,"25-34",IF(Table1[[#This Row],[Age]]&lt;45,"35-44","45+")))</f>
        <v>25-34</v>
      </c>
      <c r="K182" t="str">
        <f>IF(Table1[[#This Row],[Monthly_Income]]&lt;4000,"Low",IF(Table1[[#This Row],[Monthly_Income]]&lt;7000,"Medium","High"))</f>
        <v>Low</v>
      </c>
      <c r="L182">
        <f>IF(Table1[[#This Row],[Attrition]]="Yes",1,0)</f>
        <v>1</v>
      </c>
      <c r="M182" t="str">
        <f>IF(Table1[[#This Row],[Years_at_Company]]&lt;2,"0-2 Years",IF(Table1[[#This Row],[Years_at_Company]]&lt;=5,"3-5 Years",IF(Table1[[#This Row],[Years_at_Company]]&lt;=10,"6-10 Years","10+ Years")))</f>
        <v>3-5 Years</v>
      </c>
    </row>
    <row r="183" spans="1:13" x14ac:dyDescent="0.3">
      <c r="A183" t="s">
        <v>34</v>
      </c>
      <c r="B183">
        <v>34</v>
      </c>
      <c r="C183" t="s">
        <v>7</v>
      </c>
      <c r="D183" t="s">
        <v>10</v>
      </c>
      <c r="E183" t="s">
        <v>9</v>
      </c>
      <c r="F183">
        <v>6100</v>
      </c>
      <c r="G183">
        <v>4</v>
      </c>
      <c r="H183">
        <v>6</v>
      </c>
      <c r="I183" t="s">
        <v>0</v>
      </c>
      <c r="J183" t="str">
        <f>IF(Table1[[#This Row],[Age]]&lt;25,"Below 25",IF(Table1[[#This Row],[Age]]&lt;35,"25-34",IF(Table1[[#This Row],[Age]]&lt;45,"35-44","45+")))</f>
        <v>25-34</v>
      </c>
      <c r="K183" t="str">
        <f>IF(Table1[[#This Row],[Monthly_Income]]&lt;4000,"Low",IF(Table1[[#This Row],[Monthly_Income]]&lt;7000,"Medium","High"))</f>
        <v>Medium</v>
      </c>
      <c r="L183">
        <f>IF(Table1[[#This Row],[Attrition]]="Yes",1,0)</f>
        <v>0</v>
      </c>
      <c r="M183" t="str">
        <f>IF(Table1[[#This Row],[Years_at_Company]]&lt;2,"0-2 Years",IF(Table1[[#This Row],[Years_at_Company]]&lt;=5,"3-5 Years",IF(Table1[[#This Row],[Years_at_Company]]&lt;=10,"6-10 Years","10+ Years")))</f>
        <v>6-10 Years</v>
      </c>
    </row>
    <row r="184" spans="1:13" x14ac:dyDescent="0.3">
      <c r="A184" t="s">
        <v>33</v>
      </c>
      <c r="B184">
        <v>29</v>
      </c>
      <c r="C184" t="s">
        <v>3</v>
      </c>
      <c r="D184" t="s">
        <v>6</v>
      </c>
      <c r="E184" t="s">
        <v>5</v>
      </c>
      <c r="F184">
        <v>4300</v>
      </c>
      <c r="G184">
        <v>3</v>
      </c>
      <c r="H184">
        <v>4</v>
      </c>
      <c r="I184" t="s">
        <v>0</v>
      </c>
      <c r="J184" t="str">
        <f>IF(Table1[[#This Row],[Age]]&lt;25,"Below 25",IF(Table1[[#This Row],[Age]]&lt;35,"25-34",IF(Table1[[#This Row],[Age]]&lt;45,"35-44","45+")))</f>
        <v>25-34</v>
      </c>
      <c r="K184" t="str">
        <f>IF(Table1[[#This Row],[Monthly_Income]]&lt;4000,"Low",IF(Table1[[#This Row],[Monthly_Income]]&lt;7000,"Medium","High"))</f>
        <v>Medium</v>
      </c>
      <c r="L184">
        <f>IF(Table1[[#This Row],[Attrition]]="Yes",1,0)</f>
        <v>0</v>
      </c>
      <c r="M184" t="str">
        <f>IF(Table1[[#This Row],[Years_at_Company]]&lt;2,"0-2 Years",IF(Table1[[#This Row],[Years_at_Company]]&lt;=5,"3-5 Years",IF(Table1[[#This Row],[Years_at_Company]]&lt;=10,"6-10 Years","10+ Years")))</f>
        <v>3-5 Years</v>
      </c>
    </row>
    <row r="185" spans="1:13" x14ac:dyDescent="0.3">
      <c r="A185" t="s">
        <v>32</v>
      </c>
      <c r="B185">
        <v>44</v>
      </c>
      <c r="C185" t="s">
        <v>7</v>
      </c>
      <c r="D185" t="s">
        <v>2</v>
      </c>
      <c r="E185" t="s">
        <v>1</v>
      </c>
      <c r="F185">
        <v>8800</v>
      </c>
      <c r="G185">
        <v>4</v>
      </c>
      <c r="H185">
        <v>12</v>
      </c>
      <c r="I185" t="s">
        <v>0</v>
      </c>
      <c r="J185" t="str">
        <f>IF(Table1[[#This Row],[Age]]&lt;25,"Below 25",IF(Table1[[#This Row],[Age]]&lt;35,"25-34",IF(Table1[[#This Row],[Age]]&lt;45,"35-44","45+")))</f>
        <v>35-44</v>
      </c>
      <c r="K185" t="str">
        <f>IF(Table1[[#This Row],[Monthly_Income]]&lt;4000,"Low",IF(Table1[[#This Row],[Monthly_Income]]&lt;7000,"Medium","High"))</f>
        <v>High</v>
      </c>
      <c r="L185">
        <f>IF(Table1[[#This Row],[Attrition]]="Yes",1,0)</f>
        <v>0</v>
      </c>
      <c r="M185" t="str">
        <f>IF(Table1[[#This Row],[Years_at_Company]]&lt;2,"0-2 Years",IF(Table1[[#This Row],[Years_at_Company]]&lt;=5,"3-5 Years",IF(Table1[[#This Row],[Years_at_Company]]&lt;=10,"6-10 Years","10+ Years")))</f>
        <v>10+ Years</v>
      </c>
    </row>
    <row r="186" spans="1:13" x14ac:dyDescent="0.3">
      <c r="A186" t="s">
        <v>31</v>
      </c>
      <c r="B186">
        <v>24</v>
      </c>
      <c r="C186" t="s">
        <v>7</v>
      </c>
      <c r="D186" t="s">
        <v>14</v>
      </c>
      <c r="E186" t="s">
        <v>13</v>
      </c>
      <c r="F186">
        <v>3000</v>
      </c>
      <c r="G186">
        <v>1</v>
      </c>
      <c r="H186">
        <v>1</v>
      </c>
      <c r="I186" t="s">
        <v>12</v>
      </c>
      <c r="J186" t="str">
        <f>IF(Table1[[#This Row],[Age]]&lt;25,"Below 25",IF(Table1[[#This Row],[Age]]&lt;35,"25-34",IF(Table1[[#This Row],[Age]]&lt;45,"35-44","45+")))</f>
        <v>Below 25</v>
      </c>
      <c r="K186" t="str">
        <f>IF(Table1[[#This Row],[Monthly_Income]]&lt;4000,"Low",IF(Table1[[#This Row],[Monthly_Income]]&lt;7000,"Medium","High"))</f>
        <v>Low</v>
      </c>
      <c r="L186">
        <f>IF(Table1[[#This Row],[Attrition]]="Yes",1,0)</f>
        <v>1</v>
      </c>
      <c r="M186" t="str">
        <f>IF(Table1[[#This Row],[Years_at_Company]]&lt;2,"0-2 Years",IF(Table1[[#This Row],[Years_at_Company]]&lt;=5,"3-5 Years",IF(Table1[[#This Row],[Years_at_Company]]&lt;=10,"6-10 Years","10+ Years")))</f>
        <v>0-2 Years</v>
      </c>
    </row>
    <row r="187" spans="1:13" x14ac:dyDescent="0.3">
      <c r="A187" t="s">
        <v>30</v>
      </c>
      <c r="B187">
        <v>36</v>
      </c>
      <c r="C187" t="s">
        <v>3</v>
      </c>
      <c r="D187" t="s">
        <v>10</v>
      </c>
      <c r="E187" t="s">
        <v>20</v>
      </c>
      <c r="F187">
        <v>6300</v>
      </c>
      <c r="G187">
        <v>3</v>
      </c>
      <c r="H187">
        <v>7</v>
      </c>
      <c r="I187" t="s">
        <v>0</v>
      </c>
      <c r="J187" t="str">
        <f>IF(Table1[[#This Row],[Age]]&lt;25,"Below 25",IF(Table1[[#This Row],[Age]]&lt;35,"25-34",IF(Table1[[#This Row],[Age]]&lt;45,"35-44","45+")))</f>
        <v>35-44</v>
      </c>
      <c r="K187" t="str">
        <f>IF(Table1[[#This Row],[Monthly_Income]]&lt;4000,"Low",IF(Table1[[#This Row],[Monthly_Income]]&lt;7000,"Medium","High"))</f>
        <v>Medium</v>
      </c>
      <c r="L187">
        <f>IF(Table1[[#This Row],[Attrition]]="Yes",1,0)</f>
        <v>0</v>
      </c>
      <c r="M187" t="str">
        <f>IF(Table1[[#This Row],[Years_at_Company]]&lt;2,"0-2 Years",IF(Table1[[#This Row],[Years_at_Company]]&lt;=5,"3-5 Years",IF(Table1[[#This Row],[Years_at_Company]]&lt;=10,"6-10 Years","10+ Years")))</f>
        <v>6-10 Years</v>
      </c>
    </row>
    <row r="188" spans="1:13" x14ac:dyDescent="0.3">
      <c r="A188" t="s">
        <v>29</v>
      </c>
      <c r="B188">
        <v>32</v>
      </c>
      <c r="C188" t="s">
        <v>7</v>
      </c>
      <c r="D188" t="s">
        <v>6</v>
      </c>
      <c r="E188" t="s">
        <v>18</v>
      </c>
      <c r="F188">
        <v>4600</v>
      </c>
      <c r="G188">
        <v>4</v>
      </c>
      <c r="H188">
        <v>5</v>
      </c>
      <c r="I188" t="s">
        <v>0</v>
      </c>
      <c r="J188" t="str">
        <f>IF(Table1[[#This Row],[Age]]&lt;25,"Below 25",IF(Table1[[#This Row],[Age]]&lt;35,"25-34",IF(Table1[[#This Row],[Age]]&lt;45,"35-44","45+")))</f>
        <v>25-34</v>
      </c>
      <c r="K188" t="str">
        <f>IF(Table1[[#This Row],[Monthly_Income]]&lt;4000,"Low",IF(Table1[[#This Row],[Monthly_Income]]&lt;7000,"Medium","High"))</f>
        <v>Medium</v>
      </c>
      <c r="L188">
        <f>IF(Table1[[#This Row],[Attrition]]="Yes",1,0)</f>
        <v>0</v>
      </c>
      <c r="M188" t="str">
        <f>IF(Table1[[#This Row],[Years_at_Company]]&lt;2,"0-2 Years",IF(Table1[[#This Row],[Years_at_Company]]&lt;=5,"3-5 Years",IF(Table1[[#This Row],[Years_at_Company]]&lt;=10,"6-10 Years","10+ Years")))</f>
        <v>3-5 Years</v>
      </c>
    </row>
    <row r="189" spans="1:13" x14ac:dyDescent="0.3">
      <c r="A189" t="s">
        <v>28</v>
      </c>
      <c r="B189">
        <v>42</v>
      </c>
      <c r="C189" t="s">
        <v>3</v>
      </c>
      <c r="D189" t="s">
        <v>2</v>
      </c>
      <c r="E189" t="s">
        <v>16</v>
      </c>
      <c r="F189">
        <v>6900</v>
      </c>
      <c r="G189">
        <v>3</v>
      </c>
      <c r="H189">
        <v>11</v>
      </c>
      <c r="I189" t="s">
        <v>0</v>
      </c>
      <c r="J189" t="str">
        <f>IF(Table1[[#This Row],[Age]]&lt;25,"Below 25",IF(Table1[[#This Row],[Age]]&lt;35,"25-34",IF(Table1[[#This Row],[Age]]&lt;45,"35-44","45+")))</f>
        <v>35-44</v>
      </c>
      <c r="K189" t="str">
        <f>IF(Table1[[#This Row],[Monthly_Income]]&lt;4000,"Low",IF(Table1[[#This Row],[Monthly_Income]]&lt;7000,"Medium","High"))</f>
        <v>Medium</v>
      </c>
      <c r="L189">
        <f>IF(Table1[[#This Row],[Attrition]]="Yes",1,0)</f>
        <v>0</v>
      </c>
      <c r="M189" t="str">
        <f>IF(Table1[[#This Row],[Years_at_Company]]&lt;2,"0-2 Years",IF(Table1[[#This Row],[Years_at_Company]]&lt;=5,"3-5 Years",IF(Table1[[#This Row],[Years_at_Company]]&lt;=10,"6-10 Years","10+ Years")))</f>
        <v>10+ Years</v>
      </c>
    </row>
    <row r="190" spans="1:13" x14ac:dyDescent="0.3">
      <c r="A190" t="s">
        <v>27</v>
      </c>
      <c r="B190">
        <v>26</v>
      </c>
      <c r="C190" t="s">
        <v>3</v>
      </c>
      <c r="D190" t="s">
        <v>14</v>
      </c>
      <c r="E190" t="s">
        <v>13</v>
      </c>
      <c r="F190">
        <v>3300</v>
      </c>
      <c r="G190">
        <v>2</v>
      </c>
      <c r="H190">
        <v>2</v>
      </c>
      <c r="I190" t="s">
        <v>12</v>
      </c>
      <c r="J190" t="str">
        <f>IF(Table1[[#This Row],[Age]]&lt;25,"Below 25",IF(Table1[[#This Row],[Age]]&lt;35,"25-34",IF(Table1[[#This Row],[Age]]&lt;45,"35-44","45+")))</f>
        <v>25-34</v>
      </c>
      <c r="K190" t="str">
        <f>IF(Table1[[#This Row],[Monthly_Income]]&lt;4000,"Low",IF(Table1[[#This Row],[Monthly_Income]]&lt;7000,"Medium","High"))</f>
        <v>Low</v>
      </c>
      <c r="L190">
        <f>IF(Table1[[#This Row],[Attrition]]="Yes",1,0)</f>
        <v>1</v>
      </c>
      <c r="M190" t="str">
        <f>IF(Table1[[#This Row],[Years_at_Company]]&lt;2,"0-2 Years",IF(Table1[[#This Row],[Years_at_Company]]&lt;=5,"3-5 Years",IF(Table1[[#This Row],[Years_at_Company]]&lt;=10,"6-10 Years","10+ Years")))</f>
        <v>3-5 Years</v>
      </c>
    </row>
    <row r="191" spans="1:13" x14ac:dyDescent="0.3">
      <c r="A191" t="s">
        <v>26</v>
      </c>
      <c r="B191">
        <v>39</v>
      </c>
      <c r="C191" t="s">
        <v>7</v>
      </c>
      <c r="D191" t="s">
        <v>10</v>
      </c>
      <c r="E191" t="s">
        <v>9</v>
      </c>
      <c r="F191">
        <v>6500</v>
      </c>
      <c r="G191">
        <v>4</v>
      </c>
      <c r="H191">
        <v>9</v>
      </c>
      <c r="I191" t="s">
        <v>0</v>
      </c>
      <c r="J191" t="str">
        <f>IF(Table1[[#This Row],[Age]]&lt;25,"Below 25",IF(Table1[[#This Row],[Age]]&lt;35,"25-34",IF(Table1[[#This Row],[Age]]&lt;45,"35-44","45+")))</f>
        <v>35-44</v>
      </c>
      <c r="K191" t="str">
        <f>IF(Table1[[#This Row],[Monthly_Income]]&lt;4000,"Low",IF(Table1[[#This Row],[Monthly_Income]]&lt;7000,"Medium","High"))</f>
        <v>Medium</v>
      </c>
      <c r="L191">
        <f>IF(Table1[[#This Row],[Attrition]]="Yes",1,0)</f>
        <v>0</v>
      </c>
      <c r="M191" t="str">
        <f>IF(Table1[[#This Row],[Years_at_Company]]&lt;2,"0-2 Years",IF(Table1[[#This Row],[Years_at_Company]]&lt;=5,"3-5 Years",IF(Table1[[#This Row],[Years_at_Company]]&lt;=10,"6-10 Years","10+ Years")))</f>
        <v>6-10 Years</v>
      </c>
    </row>
    <row r="192" spans="1:13" x14ac:dyDescent="0.3">
      <c r="A192" t="s">
        <v>25</v>
      </c>
      <c r="B192">
        <v>31</v>
      </c>
      <c r="C192" t="s">
        <v>3</v>
      </c>
      <c r="D192" t="s">
        <v>6</v>
      </c>
      <c r="E192" t="s">
        <v>5</v>
      </c>
      <c r="F192">
        <v>4700</v>
      </c>
      <c r="G192">
        <v>3</v>
      </c>
      <c r="H192">
        <v>5</v>
      </c>
      <c r="I192" t="s">
        <v>0</v>
      </c>
      <c r="J192" t="str">
        <f>IF(Table1[[#This Row],[Age]]&lt;25,"Below 25",IF(Table1[[#This Row],[Age]]&lt;35,"25-34",IF(Table1[[#This Row],[Age]]&lt;45,"35-44","45+")))</f>
        <v>25-34</v>
      </c>
      <c r="K192" t="str">
        <f>IF(Table1[[#This Row],[Monthly_Income]]&lt;4000,"Low",IF(Table1[[#This Row],[Monthly_Income]]&lt;7000,"Medium","High"))</f>
        <v>Medium</v>
      </c>
      <c r="L192">
        <f>IF(Table1[[#This Row],[Attrition]]="Yes",1,0)</f>
        <v>0</v>
      </c>
      <c r="M192" t="str">
        <f>IF(Table1[[#This Row],[Years_at_Company]]&lt;2,"0-2 Years",IF(Table1[[#This Row],[Years_at_Company]]&lt;=5,"3-5 Years",IF(Table1[[#This Row],[Years_at_Company]]&lt;=10,"6-10 Years","10+ Years")))</f>
        <v>3-5 Years</v>
      </c>
    </row>
    <row r="193" spans="1:13" x14ac:dyDescent="0.3">
      <c r="A193" t="s">
        <v>24</v>
      </c>
      <c r="B193">
        <v>46</v>
      </c>
      <c r="C193" t="s">
        <v>7</v>
      </c>
      <c r="D193" t="s">
        <v>2</v>
      </c>
      <c r="E193" t="s">
        <v>23</v>
      </c>
      <c r="F193">
        <v>7700</v>
      </c>
      <c r="G193">
        <v>4</v>
      </c>
      <c r="H193">
        <v>14</v>
      </c>
      <c r="I193" t="s">
        <v>0</v>
      </c>
      <c r="J193" t="str">
        <f>IF(Table1[[#This Row],[Age]]&lt;25,"Below 25",IF(Table1[[#This Row],[Age]]&lt;35,"25-34",IF(Table1[[#This Row],[Age]]&lt;45,"35-44","45+")))</f>
        <v>45+</v>
      </c>
      <c r="K193" t="str">
        <f>IF(Table1[[#This Row],[Monthly_Income]]&lt;4000,"Low",IF(Table1[[#This Row],[Monthly_Income]]&lt;7000,"Medium","High"))</f>
        <v>High</v>
      </c>
      <c r="L193">
        <f>IF(Table1[[#This Row],[Attrition]]="Yes",1,0)</f>
        <v>0</v>
      </c>
      <c r="M193" t="str">
        <f>IF(Table1[[#This Row],[Years_at_Company]]&lt;2,"0-2 Years",IF(Table1[[#This Row],[Years_at_Company]]&lt;=5,"3-5 Years",IF(Table1[[#This Row],[Years_at_Company]]&lt;=10,"6-10 Years","10+ Years")))</f>
        <v>10+ Years</v>
      </c>
    </row>
    <row r="194" spans="1:13" x14ac:dyDescent="0.3">
      <c r="A194" t="s">
        <v>22</v>
      </c>
      <c r="B194">
        <v>23</v>
      </c>
      <c r="C194" t="s">
        <v>3</v>
      </c>
      <c r="D194" t="s">
        <v>14</v>
      </c>
      <c r="E194" t="s">
        <v>13</v>
      </c>
      <c r="F194">
        <v>2900</v>
      </c>
      <c r="G194">
        <v>1</v>
      </c>
      <c r="H194">
        <v>1</v>
      </c>
      <c r="I194" t="s">
        <v>12</v>
      </c>
      <c r="J194" t="str">
        <f>IF(Table1[[#This Row],[Age]]&lt;25,"Below 25",IF(Table1[[#This Row],[Age]]&lt;35,"25-34",IF(Table1[[#This Row],[Age]]&lt;45,"35-44","45+")))</f>
        <v>Below 25</v>
      </c>
      <c r="K194" t="str">
        <f>IF(Table1[[#This Row],[Monthly_Income]]&lt;4000,"Low",IF(Table1[[#This Row],[Monthly_Income]]&lt;7000,"Medium","High"))</f>
        <v>Low</v>
      </c>
      <c r="L194">
        <f>IF(Table1[[#This Row],[Attrition]]="Yes",1,0)</f>
        <v>1</v>
      </c>
      <c r="M194" t="str">
        <f>IF(Table1[[#This Row],[Years_at_Company]]&lt;2,"0-2 Years",IF(Table1[[#This Row],[Years_at_Company]]&lt;=5,"3-5 Years",IF(Table1[[#This Row],[Years_at_Company]]&lt;=10,"6-10 Years","10+ Years")))</f>
        <v>0-2 Years</v>
      </c>
    </row>
    <row r="195" spans="1:13" x14ac:dyDescent="0.3">
      <c r="A195" t="s">
        <v>21</v>
      </c>
      <c r="B195">
        <v>35</v>
      </c>
      <c r="C195" t="s">
        <v>7</v>
      </c>
      <c r="D195" t="s">
        <v>10</v>
      </c>
      <c r="E195" t="s">
        <v>20</v>
      </c>
      <c r="F195">
        <v>6200</v>
      </c>
      <c r="G195">
        <v>4</v>
      </c>
      <c r="H195">
        <v>7</v>
      </c>
      <c r="I195" t="s">
        <v>0</v>
      </c>
      <c r="J195" t="str">
        <f>IF(Table1[[#This Row],[Age]]&lt;25,"Below 25",IF(Table1[[#This Row],[Age]]&lt;35,"25-34",IF(Table1[[#This Row],[Age]]&lt;45,"35-44","45+")))</f>
        <v>35-44</v>
      </c>
      <c r="K195" t="str">
        <f>IF(Table1[[#This Row],[Monthly_Income]]&lt;4000,"Low",IF(Table1[[#This Row],[Monthly_Income]]&lt;7000,"Medium","High"))</f>
        <v>Medium</v>
      </c>
      <c r="L195">
        <f>IF(Table1[[#This Row],[Attrition]]="Yes",1,0)</f>
        <v>0</v>
      </c>
      <c r="M195" t="str">
        <f>IF(Table1[[#This Row],[Years_at_Company]]&lt;2,"0-2 Years",IF(Table1[[#This Row],[Years_at_Company]]&lt;=5,"3-5 Years",IF(Table1[[#This Row],[Years_at_Company]]&lt;=10,"6-10 Years","10+ Years")))</f>
        <v>6-10 Years</v>
      </c>
    </row>
    <row r="196" spans="1:13" x14ac:dyDescent="0.3">
      <c r="A196" t="s">
        <v>19</v>
      </c>
      <c r="B196">
        <v>28</v>
      </c>
      <c r="C196" t="s">
        <v>3</v>
      </c>
      <c r="D196" t="s">
        <v>6</v>
      </c>
      <c r="E196" t="s">
        <v>18</v>
      </c>
      <c r="F196">
        <v>4300</v>
      </c>
      <c r="G196">
        <v>3</v>
      </c>
      <c r="H196">
        <v>3</v>
      </c>
      <c r="I196" t="s">
        <v>0</v>
      </c>
      <c r="J196" t="str">
        <f>IF(Table1[[#This Row],[Age]]&lt;25,"Below 25",IF(Table1[[#This Row],[Age]]&lt;35,"25-34",IF(Table1[[#This Row],[Age]]&lt;45,"35-44","45+")))</f>
        <v>25-34</v>
      </c>
      <c r="K196" t="str">
        <f>IF(Table1[[#This Row],[Monthly_Income]]&lt;4000,"Low",IF(Table1[[#This Row],[Monthly_Income]]&lt;7000,"Medium","High"))</f>
        <v>Medium</v>
      </c>
      <c r="L196">
        <f>IF(Table1[[#This Row],[Attrition]]="Yes",1,0)</f>
        <v>0</v>
      </c>
      <c r="M196" t="str">
        <f>IF(Table1[[#This Row],[Years_at_Company]]&lt;2,"0-2 Years",IF(Table1[[#This Row],[Years_at_Company]]&lt;=5,"3-5 Years",IF(Table1[[#This Row],[Years_at_Company]]&lt;=10,"6-10 Years","10+ Years")))</f>
        <v>3-5 Years</v>
      </c>
    </row>
    <row r="197" spans="1:13" x14ac:dyDescent="0.3">
      <c r="A197" t="s">
        <v>17</v>
      </c>
      <c r="B197">
        <v>41</v>
      </c>
      <c r="C197" t="s">
        <v>7</v>
      </c>
      <c r="D197" t="s">
        <v>2</v>
      </c>
      <c r="E197" t="s">
        <v>16</v>
      </c>
      <c r="F197">
        <v>7000</v>
      </c>
      <c r="G197">
        <v>4</v>
      </c>
      <c r="H197">
        <v>10</v>
      </c>
      <c r="I197" t="s">
        <v>0</v>
      </c>
      <c r="J197" t="str">
        <f>IF(Table1[[#This Row],[Age]]&lt;25,"Below 25",IF(Table1[[#This Row],[Age]]&lt;35,"25-34",IF(Table1[[#This Row],[Age]]&lt;45,"35-44","45+")))</f>
        <v>35-44</v>
      </c>
      <c r="K197" t="str">
        <f>IF(Table1[[#This Row],[Monthly_Income]]&lt;4000,"Low",IF(Table1[[#This Row],[Monthly_Income]]&lt;7000,"Medium","High"))</f>
        <v>High</v>
      </c>
      <c r="L197">
        <f>IF(Table1[[#This Row],[Attrition]]="Yes",1,0)</f>
        <v>0</v>
      </c>
      <c r="M197" t="str">
        <f>IF(Table1[[#This Row],[Years_at_Company]]&lt;2,"0-2 Years",IF(Table1[[#This Row],[Years_at_Company]]&lt;=5,"3-5 Years",IF(Table1[[#This Row],[Years_at_Company]]&lt;=10,"6-10 Years","10+ Years")))</f>
        <v>6-10 Years</v>
      </c>
    </row>
    <row r="198" spans="1:13" x14ac:dyDescent="0.3">
      <c r="A198" t="s">
        <v>15</v>
      </c>
      <c r="B198">
        <v>25</v>
      </c>
      <c r="C198" t="s">
        <v>7</v>
      </c>
      <c r="D198" t="s">
        <v>14</v>
      </c>
      <c r="E198" t="s">
        <v>13</v>
      </c>
      <c r="F198">
        <v>3100</v>
      </c>
      <c r="G198">
        <v>2</v>
      </c>
      <c r="H198">
        <v>1</v>
      </c>
      <c r="I198" t="s">
        <v>12</v>
      </c>
      <c r="J198" t="str">
        <f>IF(Table1[[#This Row],[Age]]&lt;25,"Below 25",IF(Table1[[#This Row],[Age]]&lt;35,"25-34",IF(Table1[[#This Row],[Age]]&lt;45,"35-44","45+")))</f>
        <v>25-34</v>
      </c>
      <c r="K198" t="str">
        <f>IF(Table1[[#This Row],[Monthly_Income]]&lt;4000,"Low",IF(Table1[[#This Row],[Monthly_Income]]&lt;7000,"Medium","High"))</f>
        <v>Low</v>
      </c>
      <c r="L198">
        <f>IF(Table1[[#This Row],[Attrition]]="Yes",1,0)</f>
        <v>1</v>
      </c>
      <c r="M198" t="str">
        <f>IF(Table1[[#This Row],[Years_at_Company]]&lt;2,"0-2 Years",IF(Table1[[#This Row],[Years_at_Company]]&lt;=5,"3-5 Years",IF(Table1[[#This Row],[Years_at_Company]]&lt;=10,"6-10 Years","10+ Years")))</f>
        <v>0-2 Years</v>
      </c>
    </row>
    <row r="199" spans="1:13" x14ac:dyDescent="0.3">
      <c r="A199" t="s">
        <v>11</v>
      </c>
      <c r="B199">
        <v>37</v>
      </c>
      <c r="C199" t="s">
        <v>3</v>
      </c>
      <c r="D199" t="s">
        <v>10</v>
      </c>
      <c r="E199" t="s">
        <v>9</v>
      </c>
      <c r="F199">
        <v>6400</v>
      </c>
      <c r="G199">
        <v>3</v>
      </c>
      <c r="H199">
        <v>8</v>
      </c>
      <c r="I199" t="s">
        <v>0</v>
      </c>
      <c r="J199" t="str">
        <f>IF(Table1[[#This Row],[Age]]&lt;25,"Below 25",IF(Table1[[#This Row],[Age]]&lt;35,"25-34",IF(Table1[[#This Row],[Age]]&lt;45,"35-44","45+")))</f>
        <v>35-44</v>
      </c>
      <c r="K199" t="str">
        <f>IF(Table1[[#This Row],[Monthly_Income]]&lt;4000,"Low",IF(Table1[[#This Row],[Monthly_Income]]&lt;7000,"Medium","High"))</f>
        <v>Medium</v>
      </c>
      <c r="L199">
        <f>IF(Table1[[#This Row],[Attrition]]="Yes",1,0)</f>
        <v>0</v>
      </c>
      <c r="M199" t="str">
        <f>IF(Table1[[#This Row],[Years_at_Company]]&lt;2,"0-2 Years",IF(Table1[[#This Row],[Years_at_Company]]&lt;=5,"3-5 Years",IF(Table1[[#This Row],[Years_at_Company]]&lt;=10,"6-10 Years","10+ Years")))</f>
        <v>6-10 Years</v>
      </c>
    </row>
    <row r="200" spans="1:13" x14ac:dyDescent="0.3">
      <c r="A200" t="s">
        <v>8</v>
      </c>
      <c r="B200">
        <v>30</v>
      </c>
      <c r="C200" t="s">
        <v>7</v>
      </c>
      <c r="D200" t="s">
        <v>6</v>
      </c>
      <c r="E200" t="s">
        <v>5</v>
      </c>
      <c r="F200">
        <v>4500</v>
      </c>
      <c r="G200">
        <v>4</v>
      </c>
      <c r="H200">
        <v>4</v>
      </c>
      <c r="I200" t="s">
        <v>0</v>
      </c>
      <c r="J200" t="str">
        <f>IF(Table1[[#This Row],[Age]]&lt;25,"Below 25",IF(Table1[[#This Row],[Age]]&lt;35,"25-34",IF(Table1[[#This Row],[Age]]&lt;45,"35-44","45+")))</f>
        <v>25-34</v>
      </c>
      <c r="K200" t="str">
        <f>IF(Table1[[#This Row],[Monthly_Income]]&lt;4000,"Low",IF(Table1[[#This Row],[Monthly_Income]]&lt;7000,"Medium","High"))</f>
        <v>Medium</v>
      </c>
      <c r="L200">
        <f>IF(Table1[[#This Row],[Attrition]]="Yes",1,0)</f>
        <v>0</v>
      </c>
      <c r="M200" t="str">
        <f>IF(Table1[[#This Row],[Years_at_Company]]&lt;2,"0-2 Years",IF(Table1[[#This Row],[Years_at_Company]]&lt;=5,"3-5 Years",IF(Table1[[#This Row],[Years_at_Company]]&lt;=10,"6-10 Years","10+ Years")))</f>
        <v>3-5 Years</v>
      </c>
    </row>
    <row r="201" spans="1:13" x14ac:dyDescent="0.3">
      <c r="A201" t="s">
        <v>4</v>
      </c>
      <c r="B201">
        <v>48</v>
      </c>
      <c r="C201" t="s">
        <v>3</v>
      </c>
      <c r="D201" t="s">
        <v>2</v>
      </c>
      <c r="E201" t="s">
        <v>1</v>
      </c>
      <c r="F201">
        <v>9400</v>
      </c>
      <c r="G201">
        <v>4</v>
      </c>
      <c r="H201">
        <v>16</v>
      </c>
      <c r="I201" t="s">
        <v>0</v>
      </c>
      <c r="J201" t="str">
        <f>IF(Table1[[#This Row],[Age]]&lt;25,"Below 25",IF(Table1[[#This Row],[Age]]&lt;35,"25-34",IF(Table1[[#This Row],[Age]]&lt;45,"35-44","45+")))</f>
        <v>45+</v>
      </c>
      <c r="K201" t="str">
        <f>IF(Table1[[#This Row],[Monthly_Income]]&lt;4000,"Low",IF(Table1[[#This Row],[Monthly_Income]]&lt;7000,"Medium","High"))</f>
        <v>High</v>
      </c>
      <c r="L201">
        <f>IF(Table1[[#This Row],[Attrition]]="Yes",1,0)</f>
        <v>0</v>
      </c>
      <c r="M201" t="str">
        <f>IF(Table1[[#This Row],[Years_at_Company]]&lt;2,"0-2 Years",IF(Table1[[#This Row],[Years_at_Company]]&lt;=5,"3-5 Years",IF(Table1[[#This Row],[Years_at_Company]]&lt;=10,"6-10 Years","10+ Years")))</f>
        <v>10+ Years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078C-41E3-42B0-AA04-15485A5C0624}">
  <dimension ref="B4:F5"/>
  <sheetViews>
    <sheetView workbookViewId="0">
      <selection activeCell="B4" sqref="B4:F5"/>
    </sheetView>
  </sheetViews>
  <sheetFormatPr defaultRowHeight="14.4" x14ac:dyDescent="0.3"/>
  <cols>
    <col min="2" max="2" width="16.5546875" customWidth="1"/>
    <col min="3" max="3" width="15.44140625" customWidth="1"/>
    <col min="4" max="4" width="14.21875" customWidth="1"/>
    <col min="5" max="5" width="14.88671875" customWidth="1"/>
    <col min="6" max="6" width="13.109375" customWidth="1"/>
  </cols>
  <sheetData>
    <row r="4" spans="2:6" x14ac:dyDescent="0.3">
      <c r="B4" t="s">
        <v>230</v>
      </c>
      <c r="C4" t="s">
        <v>231</v>
      </c>
      <c r="D4" t="s">
        <v>232</v>
      </c>
      <c r="E4" t="s">
        <v>233</v>
      </c>
      <c r="F4" t="s">
        <v>234</v>
      </c>
    </row>
    <row r="5" spans="2:6" x14ac:dyDescent="0.3">
      <c r="B5">
        <f>COUNTA(Table1[Employee_ID])</f>
        <v>200</v>
      </c>
      <c r="C5">
        <f>COUNTIF(Table1[Attrition],"yes")</f>
        <v>50</v>
      </c>
      <c r="D5" s="1">
        <f>AVERAGE(Table1[Attrition Flag])</f>
        <v>0.25</v>
      </c>
      <c r="E5">
        <f>AVERAGE(Table1[Monthly_Income])</f>
        <v>5411</v>
      </c>
      <c r="F5">
        <f>AVERAGE(Table1[Age])</f>
        <v>33.795000000000002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5AE4-6F63-4471-9AAE-8E2692137D3A}">
  <dimension ref="A1"/>
  <sheetViews>
    <sheetView workbookViewId="0">
      <selection activeCell="J21" sqref="J2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Department</vt:lpstr>
      <vt:lpstr>Age Group</vt:lpstr>
      <vt:lpstr>Salary Band</vt:lpstr>
      <vt:lpstr>Tenure Group</vt:lpstr>
      <vt:lpstr>Job Role</vt:lpstr>
      <vt:lpstr>Count of emp id</vt:lpstr>
      <vt:lpstr>Dashboard</vt:lpstr>
      <vt:lpstr>Data</vt:lpstr>
      <vt:lpstr>KPI Cards</vt:lpstr>
      <vt:lpstr>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navyagorolla@outlook.com</cp:lastModifiedBy>
  <dcterms:created xsi:type="dcterms:W3CDTF">2026-08-10T01:22:32Z</dcterms:created>
  <dcterms:modified xsi:type="dcterms:W3CDTF">2026-10-08T18:04:01Z</dcterms:modified>
</cp:coreProperties>
</file>